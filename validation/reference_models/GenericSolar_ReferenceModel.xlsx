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CapEx" sheetId="2" state="visible" r:id="rId2"/>
    <sheet name="IDC" sheetId="3" state="visible" r:id="rId3"/>
    <sheet name="OpEx" sheetId="4" state="visible" r:id="rId4"/>
    <sheet name="Revenue" sheetId="5" state="visible" r:id="rId5"/>
    <sheet name="Debt Service" sheetId="6" state="visible" r:id="rId6"/>
    <sheet name="P&amp;L" sheetId="7" state="visible" r:id="rId7"/>
    <sheet name="Cash Flow" sheetId="8" state="visible" r:id="rId8"/>
    <sheet name="Equity" sheetId="9" state="visible" r:id="rId9"/>
    <sheet name="Summary" sheetId="10" state="visible" r:id="rId10"/>
    <sheet name="Methodolog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color rgb="000000CC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164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Generic Solar PV — Inputs</t>
        </is>
      </c>
    </row>
    <row r="3">
      <c r="A3" t="inlineStr">
        <is>
          <t>Project name</t>
        </is>
      </c>
      <c r="B3" t="inlineStr">
        <is>
          <t>string</t>
        </is>
      </c>
      <c r="C3" s="2" t="inlineStr">
        <is>
          <t>Generic Solar PV</t>
        </is>
      </c>
    </row>
    <row r="4">
      <c r="A4" t="inlineStr">
        <is>
          <t>Company</t>
        </is>
      </c>
      <c r="B4" t="inlineStr">
        <is>
          <t>string</t>
        </is>
      </c>
      <c r="C4" s="2" t="inlineStr">
        <is>
          <t>SolarCo</t>
        </is>
      </c>
    </row>
    <row r="5">
      <c r="A5" t="inlineStr">
        <is>
          <t>Code</t>
        </is>
      </c>
      <c r="B5" t="inlineStr">
        <is>
          <t>string</t>
        </is>
      </c>
      <c r="C5" s="2" t="inlineStr">
        <is>
          <t>SOLAR-001</t>
        </is>
      </c>
    </row>
    <row r="6">
      <c r="A6" t="inlineStr">
        <is>
          <t>Country</t>
        </is>
      </c>
      <c r="B6" t="inlineStr">
        <is>
          <t>ISO</t>
        </is>
      </c>
      <c r="C6" s="2" t="inlineStr">
        <is>
          <t>DE</t>
        </is>
      </c>
    </row>
    <row r="7">
      <c r="A7" t="inlineStr">
        <is>
          <t>Financial close</t>
        </is>
      </c>
      <c r="B7" t="inlineStr">
        <is>
          <t>date</t>
        </is>
      </c>
      <c r="C7" s="3" t="n">
        <v>47484</v>
      </c>
    </row>
    <row r="8">
      <c r="A8" t="inlineStr">
        <is>
          <t>COD date</t>
        </is>
      </c>
      <c r="B8" t="inlineStr">
        <is>
          <t>date</t>
        </is>
      </c>
      <c r="C8" s="3" t="n">
        <v>47849</v>
      </c>
    </row>
    <row r="9">
      <c r="A9" t="inlineStr">
        <is>
          <t>Construction months</t>
        </is>
      </c>
      <c r="B9" t="inlineStr">
        <is>
          <t>months</t>
        </is>
      </c>
      <c r="C9" s="2" t="n">
        <v>12</v>
      </c>
    </row>
    <row r="10">
      <c r="A10" t="inlineStr">
        <is>
          <t>Horizon years</t>
        </is>
      </c>
      <c r="B10" t="inlineStr">
        <is>
          <t>years</t>
        </is>
      </c>
      <c r="C10" s="2" t="n">
        <v>25</v>
      </c>
    </row>
    <row r="11">
      <c r="A11" t="inlineStr">
        <is>
          <t>Capacity MW</t>
        </is>
      </c>
      <c r="B11" t="inlineStr">
        <is>
          <t>MW</t>
        </is>
      </c>
      <c r="C11" s="2" t="n">
        <v>50</v>
      </c>
    </row>
    <row r="12">
      <c r="A12" t="inlineStr">
        <is>
          <t>Operating hours P50</t>
        </is>
      </c>
      <c r="B12" t="inlineStr">
        <is>
          <t>hrs/yr</t>
        </is>
      </c>
      <c r="C12" s="2" t="n">
        <v>1500</v>
      </c>
    </row>
    <row r="13">
      <c r="A13" t="inlineStr">
        <is>
          <t>PV degradation /yr</t>
        </is>
      </c>
      <c r="B13" t="inlineStr">
        <is>
          <t>%</t>
        </is>
      </c>
      <c r="C13" s="2" t="n">
        <v>0.004</v>
      </c>
    </row>
    <row r="14">
      <c r="A14" t="inlineStr">
        <is>
          <t>Plant availability</t>
        </is>
      </c>
      <c r="B14" t="inlineStr">
        <is>
          <t>ratio</t>
        </is>
      </c>
      <c r="C14" s="2" t="n">
        <v>0.9801</v>
      </c>
    </row>
    <row r="15">
      <c r="A15" t="inlineStr">
        <is>
          <t>PPA base tariff</t>
        </is>
      </c>
      <c r="B15" t="inlineStr">
        <is>
          <t>EUR/MWh</t>
        </is>
      </c>
      <c r="C15" s="2" t="n">
        <v>55</v>
      </c>
    </row>
    <row r="16">
      <c r="A16" t="inlineStr">
        <is>
          <t>PPA term years</t>
        </is>
      </c>
      <c r="B16" t="inlineStr">
        <is>
          <t>years</t>
        </is>
      </c>
      <c r="C16" s="2" t="n">
        <v>10</v>
      </c>
    </row>
    <row r="17">
      <c r="A17" t="inlineStr">
        <is>
          <t>PPA indexation /yr</t>
        </is>
      </c>
      <c r="B17" t="inlineStr">
        <is>
          <t>%</t>
        </is>
      </c>
      <c r="C17" s="2" t="n">
        <v>0.02</v>
      </c>
    </row>
    <row r="18">
      <c r="A18" t="inlineStr">
        <is>
          <t>Market price Y1</t>
        </is>
      </c>
      <c r="B18" t="inlineStr">
        <is>
          <t>EUR/MWh</t>
        </is>
      </c>
      <c r="C18" s="2" t="n">
        <v>60</v>
      </c>
    </row>
    <row r="19">
      <c r="A19" t="inlineStr">
        <is>
          <t>Market price Y2</t>
        </is>
      </c>
      <c r="B19" t="inlineStr">
        <is>
          <t>EUR/MWh</t>
        </is>
      </c>
      <c r="C19" s="2" t="n">
        <v>61</v>
      </c>
    </row>
    <row r="20">
      <c r="A20" t="inlineStr">
        <is>
          <t>Market escalation /yr</t>
        </is>
      </c>
      <c r="B20" t="inlineStr">
        <is>
          <t>%</t>
        </is>
      </c>
      <c r="C20" s="2" t="n">
        <v>0.02</v>
      </c>
    </row>
    <row r="21">
      <c r="A21" t="inlineStr">
        <is>
          <t>Balancing cost</t>
        </is>
      </c>
      <c r="B21" t="inlineStr">
        <is>
          <t>EUR/MWh</t>
        </is>
      </c>
      <c r="C21" s="2" t="n">
        <v>0</v>
      </c>
    </row>
    <row r="22">
      <c r="A22" t="inlineStr">
        <is>
          <t>CO2 enabled</t>
        </is>
      </c>
      <c r="B22" t="inlineStr">
        <is>
          <t>bool</t>
        </is>
      </c>
      <c r="C22" s="2" t="b">
        <v>0</v>
      </c>
    </row>
    <row r="23">
      <c r="A23" t="inlineStr">
        <is>
          <t>CO2 price</t>
        </is>
      </c>
      <c r="B23" t="inlineStr">
        <is>
          <t>EUR/MWh</t>
        </is>
      </c>
      <c r="C23" s="2" t="n">
        <v>0</v>
      </c>
    </row>
    <row r="24">
      <c r="A24" t="inlineStr">
        <is>
          <t>Annual OPEX inflation</t>
        </is>
      </c>
      <c r="B24" t="inlineStr">
        <is>
          <t>%</t>
        </is>
      </c>
      <c r="C24" s="2" t="n">
        <v>0.02</v>
      </c>
    </row>
    <row r="25">
      <c r="A25" t="inlineStr">
        <is>
          <t>Share capital</t>
        </is>
      </c>
      <c r="B25" t="inlineStr">
        <is>
          <t>kEUR</t>
        </is>
      </c>
      <c r="C25" s="2" t="n">
        <v>500</v>
      </c>
    </row>
    <row r="26">
      <c r="A26" t="inlineStr">
        <is>
          <t>SHL amount</t>
        </is>
      </c>
      <c r="B26" t="inlineStr">
        <is>
          <t>kEUR</t>
        </is>
      </c>
      <c r="C26" s="2" t="n">
        <v>5000</v>
      </c>
    </row>
    <row r="27">
      <c r="A27" t="inlineStr">
        <is>
          <t>SHL rate</t>
        </is>
      </c>
      <c r="B27" t="inlineStr">
        <is>
          <t>%</t>
        </is>
      </c>
      <c r="C27" s="2" t="n">
        <v>0.08</v>
      </c>
    </row>
    <row r="28">
      <c r="A28" t="inlineStr">
        <is>
          <t>Gearing cap</t>
        </is>
      </c>
      <c r="B28" t="inlineStr">
        <is>
          <t>ratio</t>
        </is>
      </c>
      <c r="C28" s="2" t="n">
        <v>0.75</v>
      </c>
    </row>
    <row r="29">
      <c r="A29" t="inlineStr">
        <is>
          <t>Senior tenor years</t>
        </is>
      </c>
      <c r="B29" t="inlineStr">
        <is>
          <t>years</t>
        </is>
      </c>
      <c r="C29" s="2" t="n">
        <v>15</v>
      </c>
    </row>
    <row r="30">
      <c r="A30" t="inlineStr">
        <is>
          <t>Base rate</t>
        </is>
      </c>
      <c r="B30" t="inlineStr">
        <is>
          <t>%</t>
        </is>
      </c>
      <c r="C30" s="2" t="n">
        <v>0.03</v>
      </c>
    </row>
    <row r="31">
      <c r="A31" t="inlineStr">
        <is>
          <t>Margin bps</t>
        </is>
      </c>
      <c r="B31" t="inlineStr">
        <is>
          <t>bps</t>
        </is>
      </c>
      <c r="C31" s="2" t="n">
        <v>250</v>
      </c>
    </row>
    <row r="32">
      <c r="A32" t="inlineStr">
        <is>
          <t>Target DSCR</t>
        </is>
      </c>
      <c r="B32" t="inlineStr">
        <is>
          <t>x</t>
        </is>
      </c>
      <c r="C32" s="2" t="n">
        <v>1.2</v>
      </c>
    </row>
    <row r="33">
      <c r="A33" t="inlineStr">
        <is>
          <t>Corporate tax rate</t>
        </is>
      </c>
      <c r="B33" t="inlineStr">
        <is>
          <t>%</t>
        </is>
      </c>
      <c r="C33" s="2" t="n">
        <v>0.25</v>
      </c>
    </row>
    <row r="34">
      <c r="A34" t="inlineStr">
        <is>
          <t>Loss carryforward years</t>
        </is>
      </c>
      <c r="B34" t="inlineStr">
        <is>
          <t>years</t>
        </is>
      </c>
      <c r="C34" s="2" t="n">
        <v>5</v>
      </c>
    </row>
    <row r="35">
      <c r="A35" t="inlineStr">
        <is>
          <t>IDC (input)</t>
        </is>
      </c>
      <c r="B35" t="inlineStr">
        <is>
          <t>kEUR</t>
        </is>
      </c>
      <c r="C35" s="2" t="n">
        <v>0</v>
      </c>
    </row>
    <row r="36">
      <c r="A36" t="inlineStr">
        <is>
          <t>Bank fees (input)</t>
        </is>
      </c>
      <c r="B36" t="inlineStr">
        <is>
          <t>kEUR</t>
        </is>
      </c>
      <c r="C36" s="2" t="n">
        <v>0</v>
      </c>
    </row>
    <row r="37">
      <c r="A37" t="inlineStr">
        <is>
          <t>Depreciation life</t>
        </is>
      </c>
      <c r="B37" t="inlineStr">
        <is>
          <t>years</t>
        </is>
      </c>
      <c r="C37" s="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1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</cols>
  <sheetData>
    <row r="1">
      <c r="A1" s="1" t="inlineStr">
        <is>
          <t>Generic Solar PV — CapEx Schedule (kEUR)</t>
        </is>
      </c>
    </row>
    <row r="3">
      <c r="A3" t="inlineStr">
        <is>
          <t>Period</t>
        </is>
      </c>
      <c r="B3" t="inlineStr">
        <is>
          <t>Profile</t>
        </is>
      </c>
      <c r="C3" s="1" t="inlineStr">
        <is>
          <t>P1</t>
        </is>
      </c>
      <c r="D3" s="1" t="inlineStr">
        <is>
          <t>P2</t>
        </is>
      </c>
      <c r="E3" s="1" t="inlineStr">
        <is>
          <t>P3</t>
        </is>
      </c>
      <c r="F3" s="1" t="inlineStr">
        <is>
          <t>P4</t>
        </is>
      </c>
      <c r="G3" s="1" t="inlineStr">
        <is>
          <t>P5</t>
        </is>
      </c>
      <c r="H3" s="1" t="inlineStr">
        <is>
          <t>P6</t>
        </is>
      </c>
      <c r="I3" s="1" t="inlineStr">
        <is>
          <t>P7</t>
        </is>
      </c>
      <c r="J3" s="1" t="inlineStr">
        <is>
          <t>P8</t>
        </is>
      </c>
      <c r="K3" s="1" t="inlineStr">
        <is>
          <t>P9</t>
        </is>
      </c>
      <c r="L3" s="1" t="inlineStr">
        <is>
          <t>P10</t>
        </is>
      </c>
      <c r="M3" s="1" t="inlineStr">
        <is>
          <t>P11</t>
        </is>
      </c>
      <c r="N3" s="1" t="inlineStr">
        <is>
          <t>P12</t>
        </is>
      </c>
      <c r="O3" s="1" t="inlineStr">
        <is>
          <t>P13</t>
        </is>
      </c>
      <c r="P3" s="1" t="inlineStr">
        <is>
          <t>P14</t>
        </is>
      </c>
      <c r="Q3" s="1" t="inlineStr">
        <is>
          <t>P15</t>
        </is>
      </c>
      <c r="R3" s="1" t="inlineStr">
        <is>
          <t>P16</t>
        </is>
      </c>
      <c r="S3" s="1" t="inlineStr">
        <is>
          <t>P17</t>
        </is>
      </c>
      <c r="T3" s="1" t="inlineStr">
        <is>
          <t>P18</t>
        </is>
      </c>
      <c r="U3" s="1" t="inlineStr">
        <is>
          <t>P19</t>
        </is>
      </c>
      <c r="V3" s="1" t="inlineStr">
        <is>
          <t>P20</t>
        </is>
      </c>
      <c r="W3" s="1" t="inlineStr">
        <is>
          <t>P21</t>
        </is>
      </c>
      <c r="X3" s="1" t="inlineStr">
        <is>
          <t>P22</t>
        </is>
      </c>
      <c r="Y3" s="1" t="inlineStr">
        <is>
          <t>P23</t>
        </is>
      </c>
      <c r="Z3" s="1" t="inlineStr">
        <is>
          <t>P24</t>
        </is>
      </c>
      <c r="AA3" s="1" t="inlineStr">
        <is>
          <t>P25</t>
        </is>
      </c>
      <c r="AB3" s="1" t="inlineStr">
        <is>
          <t>P26</t>
        </is>
      </c>
      <c r="AC3" s="1" t="inlineStr">
        <is>
          <t>P27</t>
        </is>
      </c>
      <c r="AD3" s="1" t="inlineStr">
        <is>
          <t>P28</t>
        </is>
      </c>
      <c r="AE3" s="1" t="inlineStr">
        <is>
          <t>P29</t>
        </is>
      </c>
      <c r="AF3" s="1" t="inlineStr">
        <is>
          <t>P30</t>
        </is>
      </c>
      <c r="AG3" s="1" t="inlineStr">
        <is>
          <t>P31</t>
        </is>
      </c>
      <c r="AH3" s="1" t="inlineStr">
        <is>
          <t>P32</t>
        </is>
      </c>
      <c r="AI3" s="1" t="inlineStr">
        <is>
          <t>P33</t>
        </is>
      </c>
      <c r="AJ3" s="1" t="inlineStr">
        <is>
          <t>P34</t>
        </is>
      </c>
      <c r="AK3" s="1" t="inlineStr">
        <is>
          <t>P35</t>
        </is>
      </c>
      <c r="AL3" s="1" t="inlineStr">
        <is>
          <t>P36</t>
        </is>
      </c>
      <c r="AM3" s="1" t="inlineStr">
        <is>
          <t>P37</t>
        </is>
      </c>
      <c r="AN3" s="1" t="inlineStr">
        <is>
          <t>P38</t>
        </is>
      </c>
      <c r="AO3" s="1" t="inlineStr">
        <is>
          <t>P39</t>
        </is>
      </c>
      <c r="AP3" s="1" t="inlineStr">
        <is>
          <t>P40</t>
        </is>
      </c>
      <c r="AQ3" s="1" t="inlineStr">
        <is>
          <t>P41</t>
        </is>
      </c>
      <c r="AR3" s="1" t="inlineStr">
        <is>
          <t>P42</t>
        </is>
      </c>
      <c r="AS3" s="1" t="inlineStr">
        <is>
          <t>P43</t>
        </is>
      </c>
      <c r="AT3" s="1" t="inlineStr">
        <is>
          <t>P44</t>
        </is>
      </c>
      <c r="AU3" s="1" t="inlineStr">
        <is>
          <t>P45</t>
        </is>
      </c>
      <c r="AV3" s="1" t="inlineStr">
        <is>
          <t>P46</t>
        </is>
      </c>
      <c r="AW3" s="1" t="inlineStr">
        <is>
          <t>P47</t>
        </is>
      </c>
      <c r="AX3" s="1" t="inlineStr">
        <is>
          <t>P48</t>
        </is>
      </c>
      <c r="AY3" s="1" t="inlineStr">
        <is>
          <t>P49</t>
        </is>
      </c>
      <c r="AZ3" s="1" t="inlineStr">
        <is>
          <t>P50</t>
        </is>
      </c>
      <c r="BA3" s="1" t="inlineStr">
        <is>
          <t>P51</t>
        </is>
      </c>
      <c r="BB3" s="1" t="inlineStr">
        <is>
          <t>P52</t>
        </is>
      </c>
    </row>
    <row r="4">
      <c r="A4" t="inlineStr">
        <is>
          <t>Period end date</t>
        </is>
      </c>
      <c r="C4" s="4" t="n">
        <v>47665</v>
      </c>
      <c r="D4" s="4" t="n">
        <v>47849</v>
      </c>
      <c r="E4" s="4" t="n">
        <v>48030</v>
      </c>
      <c r="F4" s="4" t="n">
        <v>48214</v>
      </c>
      <c r="G4" s="4" t="n">
        <v>48396</v>
      </c>
      <c r="H4" s="4" t="n">
        <v>48580</v>
      </c>
      <c r="I4" s="4" t="n">
        <v>48761</v>
      </c>
      <c r="J4" s="4" t="n">
        <v>48945</v>
      </c>
      <c r="K4" s="4" t="n">
        <v>49126</v>
      </c>
      <c r="L4" s="4" t="n">
        <v>49310</v>
      </c>
      <c r="M4" s="4" t="n">
        <v>49491</v>
      </c>
      <c r="N4" s="4" t="n">
        <v>49675</v>
      </c>
      <c r="O4" s="4" t="n">
        <v>49857</v>
      </c>
      <c r="P4" s="4" t="n">
        <v>50041</v>
      </c>
      <c r="Q4" s="4" t="n">
        <v>50222</v>
      </c>
      <c r="R4" s="4" t="n">
        <v>50406</v>
      </c>
      <c r="S4" s="4" t="n">
        <v>50587</v>
      </c>
      <c r="T4" s="4" t="n">
        <v>50771</v>
      </c>
      <c r="U4" s="4" t="n">
        <v>50952</v>
      </c>
      <c r="V4" s="4" t="n">
        <v>51136</v>
      </c>
      <c r="W4" s="4" t="n">
        <v>51318</v>
      </c>
      <c r="X4" s="4" t="n">
        <v>51502</v>
      </c>
      <c r="Y4" s="4" t="n">
        <v>51683</v>
      </c>
      <c r="Z4" s="4" t="n">
        <v>51867</v>
      </c>
      <c r="AA4" s="4" t="n">
        <v>52048</v>
      </c>
      <c r="AB4" s="4" t="n">
        <v>52232</v>
      </c>
      <c r="AC4" s="4" t="n">
        <v>52413</v>
      </c>
      <c r="AD4" s="4" t="n">
        <v>52597</v>
      </c>
      <c r="AE4" s="4" t="n">
        <v>52779</v>
      </c>
      <c r="AF4" s="4" t="n">
        <v>52963</v>
      </c>
      <c r="AG4" s="4" t="n">
        <v>53144</v>
      </c>
      <c r="AH4" s="4" t="n">
        <v>53328</v>
      </c>
      <c r="AI4" s="4" t="n">
        <v>53509</v>
      </c>
      <c r="AJ4" s="4" t="n">
        <v>53693</v>
      </c>
      <c r="AK4" s="4" t="n">
        <v>53874</v>
      </c>
      <c r="AL4" s="4" t="n">
        <v>54058</v>
      </c>
      <c r="AM4" s="4" t="n">
        <v>54240</v>
      </c>
      <c r="AN4" s="4" t="n">
        <v>54424</v>
      </c>
      <c r="AO4" s="4" t="n">
        <v>54605</v>
      </c>
      <c r="AP4" s="4" t="n">
        <v>54789</v>
      </c>
      <c r="AQ4" s="4" t="n">
        <v>54970</v>
      </c>
      <c r="AR4" s="4" t="n">
        <v>55154</v>
      </c>
      <c r="AS4" s="4" t="n">
        <v>55335</v>
      </c>
      <c r="AT4" s="4" t="n">
        <v>55519</v>
      </c>
      <c r="AU4" s="4" t="n">
        <v>55701</v>
      </c>
      <c r="AV4" s="4" t="n">
        <v>55885</v>
      </c>
      <c r="AW4" s="4" t="n">
        <v>56066</v>
      </c>
      <c r="AX4" s="4" t="n">
        <v>56250</v>
      </c>
      <c r="AY4" s="4" t="n">
        <v>56431</v>
      </c>
      <c r="AZ4" s="4" t="n">
        <v>56615</v>
      </c>
      <c r="BA4" s="4" t="n">
        <v>56796</v>
      </c>
      <c r="BB4" s="4" t="n">
        <v>56980</v>
      </c>
    </row>
    <row r="5">
      <c r="BD5" s="1" t="inlineStr">
        <is>
          <t>Item Total (kEUR)</t>
        </is>
      </c>
    </row>
    <row r="6">
      <c r="A6" t="inlineStr">
        <is>
          <t>Solar Modules</t>
        </is>
      </c>
      <c r="B6" t="inlineStr">
        <is>
          <t>kEUR</t>
        </is>
      </c>
      <c r="C6">
        <f>0.5*$BD$6</f>
        <v>10000.0</v>
      </c>
      <c r="D6">
        <f>0.5*$BD$6</f>
        <v>10000.0</v>
      </c>
      <c r="E6">
        <f>0.0*$BD$6</f>
        <v>0.0</v>
      </c>
      <c r="F6">
        <f>0.0*$BD$6</f>
        <v>0.0</v>
      </c>
      <c r="G6">
        <f>0.0*$BD$6</f>
        <v>0.0</v>
      </c>
      <c r="H6">
        <f>0.0*$BD$6</f>
        <v>0.0</v>
      </c>
      <c r="I6">
        <f>0.0*$BD$6</f>
        <v>0.0</v>
      </c>
      <c r="J6">
        <f>0.0*$BD$6</f>
        <v>0.0</v>
      </c>
      <c r="K6">
        <f>0.0*$BD$6</f>
        <v>0.0</v>
      </c>
      <c r="L6">
        <f>0.0*$BD$6</f>
        <v>0.0</v>
      </c>
      <c r="M6">
        <f>0.0*$BD$6</f>
        <v>0.0</v>
      </c>
      <c r="N6">
        <f>0.0*$BD$6</f>
        <v>0.0</v>
      </c>
      <c r="O6">
        <f>0.0*$BD$6</f>
        <v>0.0</v>
      </c>
      <c r="P6">
        <f>0.0*$BD$6</f>
        <v>0.0</v>
      </c>
      <c r="Q6">
        <f>0.0*$BD$6</f>
        <v>0.0</v>
      </c>
      <c r="R6">
        <f>0.0*$BD$6</f>
        <v>0.0</v>
      </c>
      <c r="S6">
        <f>0.0*$BD$6</f>
        <v>0.0</v>
      </c>
      <c r="T6">
        <f>0.0*$BD$6</f>
        <v>0.0</v>
      </c>
      <c r="U6">
        <f>0.0*$BD$6</f>
        <v>0.0</v>
      </c>
      <c r="V6">
        <f>0.0*$BD$6</f>
        <v>0.0</v>
      </c>
      <c r="W6">
        <f>0.0*$BD$6</f>
        <v>0.0</v>
      </c>
      <c r="X6">
        <f>0.0*$BD$6</f>
        <v>0.0</v>
      </c>
      <c r="Y6">
        <f>0.0*$BD$6</f>
        <v>0.0</v>
      </c>
      <c r="Z6">
        <f>0.0*$BD$6</f>
        <v>0.0</v>
      </c>
      <c r="AA6">
        <f>0.0*$BD$6</f>
        <v>0.0</v>
      </c>
      <c r="AB6">
        <f>0.0*$BD$6</f>
        <v>0.0</v>
      </c>
      <c r="AC6">
        <f>0.0*$BD$6</f>
        <v>0.0</v>
      </c>
      <c r="AD6">
        <f>0.0*$BD$6</f>
        <v>0.0</v>
      </c>
      <c r="AE6">
        <f>0.0*$BD$6</f>
        <v>0.0</v>
      </c>
      <c r="AF6">
        <f>0.0*$BD$6</f>
        <v>0.0</v>
      </c>
      <c r="AG6">
        <f>0.0*$BD$6</f>
        <v>0.0</v>
      </c>
      <c r="AH6">
        <f>0.0*$BD$6</f>
        <v>0.0</v>
      </c>
      <c r="AI6">
        <f>0.0*$BD$6</f>
        <v>0.0</v>
      </c>
      <c r="AJ6">
        <f>0.0*$BD$6</f>
        <v>0.0</v>
      </c>
      <c r="AK6">
        <f>0.0*$BD$6</f>
        <v>0.0</v>
      </c>
      <c r="AL6">
        <f>0.0*$BD$6</f>
        <v>0.0</v>
      </c>
      <c r="AM6">
        <f>0.0*$BD$6</f>
        <v>0.0</v>
      </c>
      <c r="AN6">
        <f>0.0*$BD$6</f>
        <v>0.0</v>
      </c>
      <c r="AO6">
        <f>0.0*$BD$6</f>
        <v>0.0</v>
      </c>
      <c r="AP6">
        <f>0.0*$BD$6</f>
        <v>0.0</v>
      </c>
      <c r="AQ6">
        <f>0.0*$BD$6</f>
        <v>0.0</v>
      </c>
      <c r="AR6">
        <f>0.0*$BD$6</f>
        <v>0.0</v>
      </c>
      <c r="AS6">
        <f>0.0*$BD$6</f>
        <v>0.0</v>
      </c>
      <c r="AT6">
        <f>0.0*$BD$6</f>
        <v>0.0</v>
      </c>
      <c r="AU6">
        <f>0.0*$BD$6</f>
        <v>0.0</v>
      </c>
      <c r="AV6">
        <f>0.0*$BD$6</f>
        <v>0.0</v>
      </c>
      <c r="AW6">
        <f>0.0*$BD$6</f>
        <v>0.0</v>
      </c>
      <c r="AX6">
        <f>0.0*$BD$6</f>
        <v>0.0</v>
      </c>
      <c r="AY6">
        <f>0.0*$BD$6</f>
        <v>0.0</v>
      </c>
      <c r="AZ6">
        <f>0.0*$BD$6</f>
        <v>0.0</v>
      </c>
      <c r="BA6">
        <f>0.0*$BD$6</f>
        <v>0.0</v>
      </c>
      <c r="BB6">
        <f>0.0*$BD$6</f>
        <v>0.0</v>
      </c>
      <c r="BD6" s="2" t="n">
        <v>20000</v>
      </c>
    </row>
    <row r="7">
      <c r="A7" t="inlineStr">
        <is>
          <t>Inverters</t>
        </is>
      </c>
      <c r="B7" t="inlineStr">
        <is>
          <t>kEUR</t>
        </is>
      </c>
      <c r="C7">
        <f>0.5*$BD$7</f>
        <v>1500.0</v>
      </c>
      <c r="D7">
        <f>0.5*$BD$7</f>
        <v>1500.0</v>
      </c>
      <c r="E7">
        <f>0.0*$BD$7</f>
        <v>0.0</v>
      </c>
      <c r="F7">
        <f>0.0*$BD$7</f>
        <v>0.0</v>
      </c>
      <c r="G7">
        <f>0.0*$BD$7</f>
        <v>0.0</v>
      </c>
      <c r="H7">
        <f>0.0*$BD$7</f>
        <v>0.0</v>
      </c>
      <c r="I7">
        <f>0.0*$BD$7</f>
        <v>0.0</v>
      </c>
      <c r="J7">
        <f>0.0*$BD$7</f>
        <v>0.0</v>
      </c>
      <c r="K7">
        <f>0.0*$BD$7</f>
        <v>0.0</v>
      </c>
      <c r="L7">
        <f>0.0*$BD$7</f>
        <v>0.0</v>
      </c>
      <c r="M7">
        <f>0.0*$BD$7</f>
        <v>0.0</v>
      </c>
      <c r="N7">
        <f>0.0*$BD$7</f>
        <v>0.0</v>
      </c>
      <c r="O7">
        <f>0.0*$BD$7</f>
        <v>0.0</v>
      </c>
      <c r="P7">
        <f>0.0*$BD$7</f>
        <v>0.0</v>
      </c>
      <c r="Q7">
        <f>0.0*$BD$7</f>
        <v>0.0</v>
      </c>
      <c r="R7">
        <f>0.0*$BD$7</f>
        <v>0.0</v>
      </c>
      <c r="S7">
        <f>0.0*$BD$7</f>
        <v>0.0</v>
      </c>
      <c r="T7">
        <f>0.0*$BD$7</f>
        <v>0.0</v>
      </c>
      <c r="U7">
        <f>0.0*$BD$7</f>
        <v>0.0</v>
      </c>
      <c r="V7">
        <f>0.0*$BD$7</f>
        <v>0.0</v>
      </c>
      <c r="W7">
        <f>0.0*$BD$7</f>
        <v>0.0</v>
      </c>
      <c r="X7">
        <f>0.0*$BD$7</f>
        <v>0.0</v>
      </c>
      <c r="Y7">
        <f>0.0*$BD$7</f>
        <v>0.0</v>
      </c>
      <c r="Z7">
        <f>0.0*$BD$7</f>
        <v>0.0</v>
      </c>
      <c r="AA7">
        <f>0.0*$BD$7</f>
        <v>0.0</v>
      </c>
      <c r="AB7">
        <f>0.0*$BD$7</f>
        <v>0.0</v>
      </c>
      <c r="AC7">
        <f>0.0*$BD$7</f>
        <v>0.0</v>
      </c>
      <c r="AD7">
        <f>0.0*$BD$7</f>
        <v>0.0</v>
      </c>
      <c r="AE7">
        <f>0.0*$BD$7</f>
        <v>0.0</v>
      </c>
      <c r="AF7">
        <f>0.0*$BD$7</f>
        <v>0.0</v>
      </c>
      <c r="AG7">
        <f>0.0*$BD$7</f>
        <v>0.0</v>
      </c>
      <c r="AH7">
        <f>0.0*$BD$7</f>
        <v>0.0</v>
      </c>
      <c r="AI7">
        <f>0.0*$BD$7</f>
        <v>0.0</v>
      </c>
      <c r="AJ7">
        <f>0.0*$BD$7</f>
        <v>0.0</v>
      </c>
      <c r="AK7">
        <f>0.0*$BD$7</f>
        <v>0.0</v>
      </c>
      <c r="AL7">
        <f>0.0*$BD$7</f>
        <v>0.0</v>
      </c>
      <c r="AM7">
        <f>0.0*$BD$7</f>
        <v>0.0</v>
      </c>
      <c r="AN7">
        <f>0.0*$BD$7</f>
        <v>0.0</v>
      </c>
      <c r="AO7">
        <f>0.0*$BD$7</f>
        <v>0.0</v>
      </c>
      <c r="AP7">
        <f>0.0*$BD$7</f>
        <v>0.0</v>
      </c>
      <c r="AQ7">
        <f>0.0*$BD$7</f>
        <v>0.0</v>
      </c>
      <c r="AR7">
        <f>0.0*$BD$7</f>
        <v>0.0</v>
      </c>
      <c r="AS7">
        <f>0.0*$BD$7</f>
        <v>0.0</v>
      </c>
      <c r="AT7">
        <f>0.0*$BD$7</f>
        <v>0.0</v>
      </c>
      <c r="AU7">
        <f>0.0*$BD$7</f>
        <v>0.0</v>
      </c>
      <c r="AV7">
        <f>0.0*$BD$7</f>
        <v>0.0</v>
      </c>
      <c r="AW7">
        <f>0.0*$BD$7</f>
        <v>0.0</v>
      </c>
      <c r="AX7">
        <f>0.0*$BD$7</f>
        <v>0.0</v>
      </c>
      <c r="AY7">
        <f>0.0*$BD$7</f>
        <v>0.0</v>
      </c>
      <c r="AZ7">
        <f>0.0*$BD$7</f>
        <v>0.0</v>
      </c>
      <c r="BA7">
        <f>0.0*$BD$7</f>
        <v>0.0</v>
      </c>
      <c r="BB7">
        <f>0.0*$BD$7</f>
        <v>0.0</v>
      </c>
      <c r="BD7" s="2" t="n">
        <v>3000</v>
      </c>
    </row>
    <row r="8">
      <c r="A8" t="inlineStr">
        <is>
          <t>Civil Works</t>
        </is>
      </c>
      <c r="B8" t="inlineStr">
        <is>
          <t>kEUR</t>
        </is>
      </c>
      <c r="C8">
        <f>0.3*$BD$8</f>
        <v>1500.0</v>
      </c>
      <c r="D8">
        <f>0.7*$BD$8</f>
        <v>3500.0</v>
      </c>
      <c r="E8">
        <f>0.0*$BD$8</f>
        <v>0.0</v>
      </c>
      <c r="F8">
        <f>0.0*$BD$8</f>
        <v>0.0</v>
      </c>
      <c r="G8">
        <f>0.0*$BD$8</f>
        <v>0.0</v>
      </c>
      <c r="H8">
        <f>0.0*$BD$8</f>
        <v>0.0</v>
      </c>
      <c r="I8">
        <f>0.0*$BD$8</f>
        <v>0.0</v>
      </c>
      <c r="J8">
        <f>0.0*$BD$8</f>
        <v>0.0</v>
      </c>
      <c r="K8">
        <f>0.0*$BD$8</f>
        <v>0.0</v>
      </c>
      <c r="L8">
        <f>0.0*$BD$8</f>
        <v>0.0</v>
      </c>
      <c r="M8">
        <f>0.0*$BD$8</f>
        <v>0.0</v>
      </c>
      <c r="N8">
        <f>0.0*$BD$8</f>
        <v>0.0</v>
      </c>
      <c r="O8">
        <f>0.0*$BD$8</f>
        <v>0.0</v>
      </c>
      <c r="P8">
        <f>0.0*$BD$8</f>
        <v>0.0</v>
      </c>
      <c r="Q8">
        <f>0.0*$BD$8</f>
        <v>0.0</v>
      </c>
      <c r="R8">
        <f>0.0*$BD$8</f>
        <v>0.0</v>
      </c>
      <c r="S8">
        <f>0.0*$BD$8</f>
        <v>0.0</v>
      </c>
      <c r="T8">
        <f>0.0*$BD$8</f>
        <v>0.0</v>
      </c>
      <c r="U8">
        <f>0.0*$BD$8</f>
        <v>0.0</v>
      </c>
      <c r="V8">
        <f>0.0*$BD$8</f>
        <v>0.0</v>
      </c>
      <c r="W8">
        <f>0.0*$BD$8</f>
        <v>0.0</v>
      </c>
      <c r="X8">
        <f>0.0*$BD$8</f>
        <v>0.0</v>
      </c>
      <c r="Y8">
        <f>0.0*$BD$8</f>
        <v>0.0</v>
      </c>
      <c r="Z8">
        <f>0.0*$BD$8</f>
        <v>0.0</v>
      </c>
      <c r="AA8">
        <f>0.0*$BD$8</f>
        <v>0.0</v>
      </c>
      <c r="AB8">
        <f>0.0*$BD$8</f>
        <v>0.0</v>
      </c>
      <c r="AC8">
        <f>0.0*$BD$8</f>
        <v>0.0</v>
      </c>
      <c r="AD8">
        <f>0.0*$BD$8</f>
        <v>0.0</v>
      </c>
      <c r="AE8">
        <f>0.0*$BD$8</f>
        <v>0.0</v>
      </c>
      <c r="AF8">
        <f>0.0*$BD$8</f>
        <v>0.0</v>
      </c>
      <c r="AG8">
        <f>0.0*$BD$8</f>
        <v>0.0</v>
      </c>
      <c r="AH8">
        <f>0.0*$BD$8</f>
        <v>0.0</v>
      </c>
      <c r="AI8">
        <f>0.0*$BD$8</f>
        <v>0.0</v>
      </c>
      <c r="AJ8">
        <f>0.0*$BD$8</f>
        <v>0.0</v>
      </c>
      <c r="AK8">
        <f>0.0*$BD$8</f>
        <v>0.0</v>
      </c>
      <c r="AL8">
        <f>0.0*$BD$8</f>
        <v>0.0</v>
      </c>
      <c r="AM8">
        <f>0.0*$BD$8</f>
        <v>0.0</v>
      </c>
      <c r="AN8">
        <f>0.0*$BD$8</f>
        <v>0.0</v>
      </c>
      <c r="AO8">
        <f>0.0*$BD$8</f>
        <v>0.0</v>
      </c>
      <c r="AP8">
        <f>0.0*$BD$8</f>
        <v>0.0</v>
      </c>
      <c r="AQ8">
        <f>0.0*$BD$8</f>
        <v>0.0</v>
      </c>
      <c r="AR8">
        <f>0.0*$BD$8</f>
        <v>0.0</v>
      </c>
      <c r="AS8">
        <f>0.0*$BD$8</f>
        <v>0.0</v>
      </c>
      <c r="AT8">
        <f>0.0*$BD$8</f>
        <v>0.0</v>
      </c>
      <c r="AU8">
        <f>0.0*$BD$8</f>
        <v>0.0</v>
      </c>
      <c r="AV8">
        <f>0.0*$BD$8</f>
        <v>0.0</v>
      </c>
      <c r="AW8">
        <f>0.0*$BD$8</f>
        <v>0.0</v>
      </c>
      <c r="AX8">
        <f>0.0*$BD$8</f>
        <v>0.0</v>
      </c>
      <c r="AY8">
        <f>0.0*$BD$8</f>
        <v>0.0</v>
      </c>
      <c r="AZ8">
        <f>0.0*$BD$8</f>
        <v>0.0</v>
      </c>
      <c r="BA8">
        <f>0.0*$BD$8</f>
        <v>0.0</v>
      </c>
      <c r="BB8">
        <f>0.0*$BD$8</f>
        <v>0.0</v>
      </c>
      <c r="BD8" s="2" t="n">
        <v>5000</v>
      </c>
    </row>
    <row r="9">
      <c r="A9" t="inlineStr">
        <is>
          <t>Grid Connection</t>
        </is>
      </c>
      <c r="B9" t="inlineStr">
        <is>
          <t>kEUR</t>
        </is>
      </c>
      <c r="C9">
        <f>0.5*$BD$9</f>
        <v>1000.0</v>
      </c>
      <c r="D9">
        <f>0.5*$BD$9</f>
        <v>1000.0</v>
      </c>
      <c r="E9">
        <f>0.0*$BD$9</f>
        <v>0.0</v>
      </c>
      <c r="F9">
        <f>0.0*$BD$9</f>
        <v>0.0</v>
      </c>
      <c r="G9">
        <f>0.0*$BD$9</f>
        <v>0.0</v>
      </c>
      <c r="H9">
        <f>0.0*$BD$9</f>
        <v>0.0</v>
      </c>
      <c r="I9">
        <f>0.0*$BD$9</f>
        <v>0.0</v>
      </c>
      <c r="J9">
        <f>0.0*$BD$9</f>
        <v>0.0</v>
      </c>
      <c r="K9">
        <f>0.0*$BD$9</f>
        <v>0.0</v>
      </c>
      <c r="L9">
        <f>0.0*$BD$9</f>
        <v>0.0</v>
      </c>
      <c r="M9">
        <f>0.0*$BD$9</f>
        <v>0.0</v>
      </c>
      <c r="N9">
        <f>0.0*$BD$9</f>
        <v>0.0</v>
      </c>
      <c r="O9">
        <f>0.0*$BD$9</f>
        <v>0.0</v>
      </c>
      <c r="P9">
        <f>0.0*$BD$9</f>
        <v>0.0</v>
      </c>
      <c r="Q9">
        <f>0.0*$BD$9</f>
        <v>0.0</v>
      </c>
      <c r="R9">
        <f>0.0*$BD$9</f>
        <v>0.0</v>
      </c>
      <c r="S9">
        <f>0.0*$BD$9</f>
        <v>0.0</v>
      </c>
      <c r="T9">
        <f>0.0*$BD$9</f>
        <v>0.0</v>
      </c>
      <c r="U9">
        <f>0.0*$BD$9</f>
        <v>0.0</v>
      </c>
      <c r="V9">
        <f>0.0*$BD$9</f>
        <v>0.0</v>
      </c>
      <c r="W9">
        <f>0.0*$BD$9</f>
        <v>0.0</v>
      </c>
      <c r="X9">
        <f>0.0*$BD$9</f>
        <v>0.0</v>
      </c>
      <c r="Y9">
        <f>0.0*$BD$9</f>
        <v>0.0</v>
      </c>
      <c r="Z9">
        <f>0.0*$BD$9</f>
        <v>0.0</v>
      </c>
      <c r="AA9">
        <f>0.0*$BD$9</f>
        <v>0.0</v>
      </c>
      <c r="AB9">
        <f>0.0*$BD$9</f>
        <v>0.0</v>
      </c>
      <c r="AC9">
        <f>0.0*$BD$9</f>
        <v>0.0</v>
      </c>
      <c r="AD9">
        <f>0.0*$BD$9</f>
        <v>0.0</v>
      </c>
      <c r="AE9">
        <f>0.0*$BD$9</f>
        <v>0.0</v>
      </c>
      <c r="AF9">
        <f>0.0*$BD$9</f>
        <v>0.0</v>
      </c>
      <c r="AG9">
        <f>0.0*$BD$9</f>
        <v>0.0</v>
      </c>
      <c r="AH9">
        <f>0.0*$BD$9</f>
        <v>0.0</v>
      </c>
      <c r="AI9">
        <f>0.0*$BD$9</f>
        <v>0.0</v>
      </c>
      <c r="AJ9">
        <f>0.0*$BD$9</f>
        <v>0.0</v>
      </c>
      <c r="AK9">
        <f>0.0*$BD$9</f>
        <v>0.0</v>
      </c>
      <c r="AL9">
        <f>0.0*$BD$9</f>
        <v>0.0</v>
      </c>
      <c r="AM9">
        <f>0.0*$BD$9</f>
        <v>0.0</v>
      </c>
      <c r="AN9">
        <f>0.0*$BD$9</f>
        <v>0.0</v>
      </c>
      <c r="AO9">
        <f>0.0*$BD$9</f>
        <v>0.0</v>
      </c>
      <c r="AP9">
        <f>0.0*$BD$9</f>
        <v>0.0</v>
      </c>
      <c r="AQ9">
        <f>0.0*$BD$9</f>
        <v>0.0</v>
      </c>
      <c r="AR9">
        <f>0.0*$BD$9</f>
        <v>0.0</v>
      </c>
      <c r="AS9">
        <f>0.0*$BD$9</f>
        <v>0.0</v>
      </c>
      <c r="AT9">
        <f>0.0*$BD$9</f>
        <v>0.0</v>
      </c>
      <c r="AU9">
        <f>0.0*$BD$9</f>
        <v>0.0</v>
      </c>
      <c r="AV9">
        <f>0.0*$BD$9</f>
        <v>0.0</v>
      </c>
      <c r="AW9">
        <f>0.0*$BD$9</f>
        <v>0.0</v>
      </c>
      <c r="AX9">
        <f>0.0*$BD$9</f>
        <v>0.0</v>
      </c>
      <c r="AY9">
        <f>0.0*$BD$9</f>
        <v>0.0</v>
      </c>
      <c r="AZ9">
        <f>0.0*$BD$9</f>
        <v>0.0</v>
      </c>
      <c r="BA9">
        <f>0.0*$BD$9</f>
        <v>0.0</v>
      </c>
      <c r="BB9">
        <f>0.0*$BD$9</f>
        <v>0.0</v>
      </c>
      <c r="BD9" s="2" t="n">
        <v>2000</v>
      </c>
    </row>
    <row r="10">
      <c r="A10" t="inlineStr">
        <is>
          <t>Soft Costs</t>
        </is>
      </c>
      <c r="B10" t="inlineStr">
        <is>
          <t>kEUR</t>
        </is>
      </c>
      <c r="C10">
        <f>1.0*$BD$10</f>
        <v>3000.0</v>
      </c>
      <c r="D10">
        <f>0.0*$BD$10</f>
        <v>0.0</v>
      </c>
      <c r="E10">
        <f>0.0*$BD$10</f>
        <v>0.0</v>
      </c>
      <c r="F10">
        <f>0.0*$BD$10</f>
        <v>0.0</v>
      </c>
      <c r="G10">
        <f>0.0*$BD$10</f>
        <v>0.0</v>
      </c>
      <c r="H10">
        <f>0.0*$BD$10</f>
        <v>0.0</v>
      </c>
      <c r="I10">
        <f>0.0*$BD$10</f>
        <v>0.0</v>
      </c>
      <c r="J10">
        <f>0.0*$BD$10</f>
        <v>0.0</v>
      </c>
      <c r="K10">
        <f>0.0*$BD$10</f>
        <v>0.0</v>
      </c>
      <c r="L10">
        <f>0.0*$BD$10</f>
        <v>0.0</v>
      </c>
      <c r="M10">
        <f>0.0*$BD$10</f>
        <v>0.0</v>
      </c>
      <c r="N10">
        <f>0.0*$BD$10</f>
        <v>0.0</v>
      </c>
      <c r="O10">
        <f>0.0*$BD$10</f>
        <v>0.0</v>
      </c>
      <c r="P10">
        <f>0.0*$BD$10</f>
        <v>0.0</v>
      </c>
      <c r="Q10">
        <f>0.0*$BD$10</f>
        <v>0.0</v>
      </c>
      <c r="R10">
        <f>0.0*$BD$10</f>
        <v>0.0</v>
      </c>
      <c r="S10">
        <f>0.0*$BD$10</f>
        <v>0.0</v>
      </c>
      <c r="T10">
        <f>0.0*$BD$10</f>
        <v>0.0</v>
      </c>
      <c r="U10">
        <f>0.0*$BD$10</f>
        <v>0.0</v>
      </c>
      <c r="V10">
        <f>0.0*$BD$10</f>
        <v>0.0</v>
      </c>
      <c r="W10">
        <f>0.0*$BD$10</f>
        <v>0.0</v>
      </c>
      <c r="X10">
        <f>0.0*$BD$10</f>
        <v>0.0</v>
      </c>
      <c r="Y10">
        <f>0.0*$BD$10</f>
        <v>0.0</v>
      </c>
      <c r="Z10">
        <f>0.0*$BD$10</f>
        <v>0.0</v>
      </c>
      <c r="AA10">
        <f>0.0*$BD$10</f>
        <v>0.0</v>
      </c>
      <c r="AB10">
        <f>0.0*$BD$10</f>
        <v>0.0</v>
      </c>
      <c r="AC10">
        <f>0.0*$BD$10</f>
        <v>0.0</v>
      </c>
      <c r="AD10">
        <f>0.0*$BD$10</f>
        <v>0.0</v>
      </c>
      <c r="AE10">
        <f>0.0*$BD$10</f>
        <v>0.0</v>
      </c>
      <c r="AF10">
        <f>0.0*$BD$10</f>
        <v>0.0</v>
      </c>
      <c r="AG10">
        <f>0.0*$BD$10</f>
        <v>0.0</v>
      </c>
      <c r="AH10">
        <f>0.0*$BD$10</f>
        <v>0.0</v>
      </c>
      <c r="AI10">
        <f>0.0*$BD$10</f>
        <v>0.0</v>
      </c>
      <c r="AJ10">
        <f>0.0*$BD$10</f>
        <v>0.0</v>
      </c>
      <c r="AK10">
        <f>0.0*$BD$10</f>
        <v>0.0</v>
      </c>
      <c r="AL10">
        <f>0.0*$BD$10</f>
        <v>0.0</v>
      </c>
      <c r="AM10">
        <f>0.0*$BD$10</f>
        <v>0.0</v>
      </c>
      <c r="AN10">
        <f>0.0*$BD$10</f>
        <v>0.0</v>
      </c>
      <c r="AO10">
        <f>0.0*$BD$10</f>
        <v>0.0</v>
      </c>
      <c r="AP10">
        <f>0.0*$BD$10</f>
        <v>0.0</v>
      </c>
      <c r="AQ10">
        <f>0.0*$BD$10</f>
        <v>0.0</v>
      </c>
      <c r="AR10">
        <f>0.0*$BD$10</f>
        <v>0.0</v>
      </c>
      <c r="AS10">
        <f>0.0*$BD$10</f>
        <v>0.0</v>
      </c>
      <c r="AT10">
        <f>0.0*$BD$10</f>
        <v>0.0</v>
      </c>
      <c r="AU10">
        <f>0.0*$BD$10</f>
        <v>0.0</v>
      </c>
      <c r="AV10">
        <f>0.0*$BD$10</f>
        <v>0.0</v>
      </c>
      <c r="AW10">
        <f>0.0*$BD$10</f>
        <v>0.0</v>
      </c>
      <c r="AX10">
        <f>0.0*$BD$10</f>
        <v>0.0</v>
      </c>
      <c r="AY10">
        <f>0.0*$BD$10</f>
        <v>0.0</v>
      </c>
      <c r="AZ10">
        <f>0.0*$BD$10</f>
        <v>0.0</v>
      </c>
      <c r="BA10">
        <f>0.0*$BD$10</f>
        <v>0.0</v>
      </c>
      <c r="BB10">
        <f>0.0*$BD$10</f>
        <v>0.0</v>
      </c>
      <c r="BD10" s="2" t="n">
        <v>3000</v>
      </c>
    </row>
    <row r="11">
      <c r="A11" s="1" t="inlineStr">
        <is>
          <t>Total Hard CapEx</t>
        </is>
      </c>
      <c r="C11" s="1">
        <f>SUM(C6:C10)</f>
        <v>17000.0</v>
      </c>
      <c r="D11" s="1">
        <f>SUM(D6:D10)</f>
        <v>16000.0</v>
      </c>
      <c r="E11" s="1">
        <f>SUM(E6:E10)</f>
        <v>0.0</v>
      </c>
      <c r="F11" s="1">
        <f>SUM(F6:F10)</f>
        <v>0.0</v>
      </c>
      <c r="G11" s="1">
        <f>SUM(G6:G10)</f>
        <v>0.0</v>
      </c>
      <c r="H11" s="1">
        <f>SUM(H6:H10)</f>
        <v>0.0</v>
      </c>
      <c r="I11" s="1">
        <f>SUM(I6:I10)</f>
        <v>0.0</v>
      </c>
      <c r="J11" s="1">
        <f>SUM(J6:J10)</f>
        <v>0.0</v>
      </c>
      <c r="K11" s="1">
        <f>SUM(K6:K10)</f>
        <v>0.0</v>
      </c>
      <c r="L11" s="1">
        <f>SUM(L6:L10)</f>
        <v>0.0</v>
      </c>
      <c r="M11" s="1">
        <f>SUM(M6:M10)</f>
        <v>0.0</v>
      </c>
      <c r="N11" s="1">
        <f>SUM(N6:N10)</f>
        <v>0.0</v>
      </c>
      <c r="O11" s="1">
        <f>SUM(O6:O10)</f>
        <v>0.0</v>
      </c>
      <c r="P11" s="1">
        <f>SUM(P6:P10)</f>
        <v>0.0</v>
      </c>
      <c r="Q11" s="1">
        <f>SUM(Q6:Q10)</f>
        <v>0.0</v>
      </c>
      <c r="R11" s="1">
        <f>SUM(R6:R10)</f>
        <v>0.0</v>
      </c>
      <c r="S11" s="1">
        <f>SUM(S6:S10)</f>
        <v>0.0</v>
      </c>
      <c r="T11" s="1">
        <f>SUM(T6:T10)</f>
        <v>0.0</v>
      </c>
      <c r="U11" s="1">
        <f>SUM(U6:U10)</f>
        <v>0.0</v>
      </c>
      <c r="V11" s="1">
        <f>SUM(V6:V10)</f>
        <v>0.0</v>
      </c>
      <c r="W11" s="1">
        <f>SUM(W6:W10)</f>
        <v>0.0</v>
      </c>
      <c r="X11" s="1">
        <f>SUM(X6:X10)</f>
        <v>0.0</v>
      </c>
      <c r="Y11" s="1">
        <f>SUM(Y6:Y10)</f>
        <v>0.0</v>
      </c>
      <c r="Z11" s="1">
        <f>SUM(Z6:Z10)</f>
        <v>0.0</v>
      </c>
      <c r="AA11" s="1">
        <f>SUM(AA6:AA10)</f>
        <v>0.0</v>
      </c>
      <c r="AB11" s="1">
        <f>SUM(AB6:AB10)</f>
        <v>0.0</v>
      </c>
      <c r="AC11" s="1">
        <f>SUM(AC6:AC10)</f>
        <v>0.0</v>
      </c>
      <c r="AD11" s="1">
        <f>SUM(AD6:AD10)</f>
        <v>0.0</v>
      </c>
      <c r="AE11" s="1">
        <f>SUM(AE6:AE10)</f>
        <v>0.0</v>
      </c>
      <c r="AF11" s="1">
        <f>SUM(AF6:AF10)</f>
        <v>0.0</v>
      </c>
      <c r="AG11" s="1">
        <f>SUM(AG6:AG10)</f>
        <v>0.0</v>
      </c>
      <c r="AH11" s="1">
        <f>SUM(AH6:AH10)</f>
        <v>0.0</v>
      </c>
      <c r="AI11" s="1">
        <f>SUM(AI6:AI10)</f>
        <v>0.0</v>
      </c>
      <c r="AJ11" s="1">
        <f>SUM(AJ6:AJ10)</f>
        <v>0.0</v>
      </c>
      <c r="AK11" s="1">
        <f>SUM(AK6:AK10)</f>
        <v>0.0</v>
      </c>
      <c r="AL11" s="1">
        <f>SUM(AL6:AL10)</f>
        <v>0.0</v>
      </c>
      <c r="AM11" s="1">
        <f>SUM(AM6:AM10)</f>
        <v>0.0</v>
      </c>
      <c r="AN11" s="1">
        <f>SUM(AN6:AN10)</f>
        <v>0.0</v>
      </c>
      <c r="AO11" s="1">
        <f>SUM(AO6:AO10)</f>
        <v>0.0</v>
      </c>
      <c r="AP11" s="1">
        <f>SUM(AP6:AP10)</f>
        <v>0.0</v>
      </c>
      <c r="AQ11" s="1">
        <f>SUM(AQ6:AQ10)</f>
        <v>0.0</v>
      </c>
      <c r="AR11" s="1">
        <f>SUM(AR6:AR10)</f>
        <v>0.0</v>
      </c>
      <c r="AS11" s="1">
        <f>SUM(AS6:AS10)</f>
        <v>0.0</v>
      </c>
      <c r="AT11" s="1">
        <f>SUM(AT6:AT10)</f>
        <v>0.0</v>
      </c>
      <c r="AU11" s="1">
        <f>SUM(AU6:AU10)</f>
        <v>0.0</v>
      </c>
      <c r="AV11" s="1">
        <f>SUM(AV6:AV10)</f>
        <v>0.0</v>
      </c>
      <c r="AW11" s="1">
        <f>SUM(AW6:AW10)</f>
        <v>0.0</v>
      </c>
      <c r="AX11" s="1">
        <f>SUM(AX6:AX10)</f>
        <v>0.0</v>
      </c>
      <c r="AY11" s="1">
        <f>SUM(AY6:AY10)</f>
        <v>0.0</v>
      </c>
      <c r="AZ11" s="1">
        <f>SUM(AZ6:AZ10)</f>
        <v>0.0</v>
      </c>
      <c r="BA11" s="1">
        <f>SUM(BA6:BA10)</f>
        <v>0.0</v>
      </c>
      <c r="BB11" s="1">
        <f>SUM(BB6:BB10)</f>
        <v>0.0</v>
      </c>
      <c r="BD11" s="1">
        <f>SUM(BD6:BD10)</f>
        <v>33000.0</v>
      </c>
    </row>
    <row r="13">
      <c r="A13" t="inlineStr">
        <is>
          <t>IDC</t>
        </is>
      </c>
      <c r="C13">
        <f>'IDC'!$C$30</f>
        <v>0.0</v>
      </c>
    </row>
    <row r="14">
      <c r="A14" t="inlineStr">
        <is>
          <t>Bank fees</t>
        </is>
      </c>
      <c r="C14">
        <f>'Inputs'!$C$36</f>
        <v>0.0</v>
      </c>
    </row>
    <row r="16">
      <c r="A16" s="1" t="inlineStr">
        <is>
          <t>TOTAL CAPEX (incl. IDC + fees)</t>
        </is>
      </c>
      <c r="C16" s="1">
        <f>BD11+C13+C14</f>
        <v>33000.0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</cols>
  <sheetData>
    <row r="1">
      <c r="A1" s="1" t="inlineStr">
        <is>
          <t>Generic Solar PV — IDC / Construction Drawdown</t>
        </is>
      </c>
    </row>
    <row r="3">
      <c r="A3" t="inlineStr">
        <is>
          <t>Assumption: senior debt is drawn as a single bullet at COD, sized via DSCR sculpting (see Debt Service tab). Construction capex is funded 100% by equity, so no debt balance accrues interest during construction.</t>
        </is>
      </c>
    </row>
    <row r="5">
      <c r="A5" t="inlineStr">
        <is>
          <t>Period</t>
        </is>
      </c>
      <c r="C5" s="1" t="inlineStr">
        <is>
          <t>P1</t>
        </is>
      </c>
      <c r="D5" s="1" t="inlineStr">
        <is>
          <t>P2</t>
        </is>
      </c>
    </row>
    <row r="6">
      <c r="A6" t="inlineStr">
        <is>
          <t>Construction debt drawdown (kEUR)</t>
        </is>
      </c>
      <c r="C6" t="n">
        <v>0</v>
      </c>
      <c r="D6" t="n">
        <v>0</v>
      </c>
    </row>
    <row r="7">
      <c r="A7" t="inlineStr">
        <is>
          <t>Opening construction debt balance (kEUR)</t>
        </is>
      </c>
      <c r="C7" t="n">
        <v>0</v>
      </c>
      <c r="D7">
        <f>C9</f>
        <v>0.0</v>
      </c>
    </row>
    <row r="8">
      <c r="A8" t="inlineStr">
        <is>
          <t>Interest rate per period</t>
        </is>
      </c>
      <c r="C8">
        <f>('Inputs'!$C$30+'Inputs'!$C$31/10000)/2</f>
        <v>0.0275</v>
      </c>
      <c r="D8">
        <f>('Inputs'!$C$30+'Inputs'!$C$31/10000)/2</f>
        <v>0.0275</v>
      </c>
    </row>
    <row r="9">
      <c r="A9" t="inlineStr">
        <is>
          <t>Closing construction debt balance (kEUR)</t>
        </is>
      </c>
      <c r="C9">
        <f>C7+C6</f>
        <v>0.0</v>
      </c>
      <c r="D9">
        <f>D7+D6</f>
        <v>0.0</v>
      </c>
    </row>
    <row r="10">
      <c r="A10" t="inlineStr">
        <is>
          <t>Interest during construction (kEUR)</t>
        </is>
      </c>
      <c r="C10">
        <f>C7*C8</f>
        <v>0.0</v>
      </c>
      <c r="D10">
        <f>D7*D8</f>
        <v>0.0</v>
      </c>
    </row>
    <row r="30">
      <c r="A30" s="1" t="inlineStr">
        <is>
          <t>TOTAL IDC (kEUR)</t>
        </is>
      </c>
      <c r="C30" s="1">
        <f>SUM(C10:D10)</f>
        <v>0.0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12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</cols>
  <sheetData>
    <row r="1">
      <c r="A1" s="1" t="inlineStr">
        <is>
          <t>Generic Solar PV — OpEx (kEUR)</t>
        </is>
      </c>
    </row>
    <row r="3">
      <c r="A3" t="inlineStr">
        <is>
          <t>Period</t>
        </is>
      </c>
      <c r="C3" s="1" t="inlineStr">
        <is>
          <t>P1</t>
        </is>
      </c>
      <c r="D3" s="1" t="inlineStr">
        <is>
          <t>P2</t>
        </is>
      </c>
      <c r="E3" s="1" t="inlineStr">
        <is>
          <t>P3</t>
        </is>
      </c>
      <c r="F3" s="1" t="inlineStr">
        <is>
          <t>P4</t>
        </is>
      </c>
      <c r="G3" s="1" t="inlineStr">
        <is>
          <t>P5</t>
        </is>
      </c>
      <c r="H3" s="1" t="inlineStr">
        <is>
          <t>P6</t>
        </is>
      </c>
      <c r="I3" s="1" t="inlineStr">
        <is>
          <t>P7</t>
        </is>
      </c>
      <c r="J3" s="1" t="inlineStr">
        <is>
          <t>P8</t>
        </is>
      </c>
      <c r="K3" s="1" t="inlineStr">
        <is>
          <t>P9</t>
        </is>
      </c>
      <c r="L3" s="1" t="inlineStr">
        <is>
          <t>P10</t>
        </is>
      </c>
      <c r="M3" s="1" t="inlineStr">
        <is>
          <t>P11</t>
        </is>
      </c>
      <c r="N3" s="1" t="inlineStr">
        <is>
          <t>P12</t>
        </is>
      </c>
      <c r="O3" s="1" t="inlineStr">
        <is>
          <t>P13</t>
        </is>
      </c>
      <c r="P3" s="1" t="inlineStr">
        <is>
          <t>P14</t>
        </is>
      </c>
      <c r="Q3" s="1" t="inlineStr">
        <is>
          <t>P15</t>
        </is>
      </c>
      <c r="R3" s="1" t="inlineStr">
        <is>
          <t>P16</t>
        </is>
      </c>
      <c r="S3" s="1" t="inlineStr">
        <is>
          <t>P17</t>
        </is>
      </c>
      <c r="T3" s="1" t="inlineStr">
        <is>
          <t>P18</t>
        </is>
      </c>
      <c r="U3" s="1" t="inlineStr">
        <is>
          <t>P19</t>
        </is>
      </c>
      <c r="V3" s="1" t="inlineStr">
        <is>
          <t>P20</t>
        </is>
      </c>
      <c r="W3" s="1" t="inlineStr">
        <is>
          <t>P21</t>
        </is>
      </c>
      <c r="X3" s="1" t="inlineStr">
        <is>
          <t>P22</t>
        </is>
      </c>
      <c r="Y3" s="1" t="inlineStr">
        <is>
          <t>P23</t>
        </is>
      </c>
      <c r="Z3" s="1" t="inlineStr">
        <is>
          <t>P24</t>
        </is>
      </c>
      <c r="AA3" s="1" t="inlineStr">
        <is>
          <t>P25</t>
        </is>
      </c>
      <c r="AB3" s="1" t="inlineStr">
        <is>
          <t>P26</t>
        </is>
      </c>
      <c r="AC3" s="1" t="inlineStr">
        <is>
          <t>P27</t>
        </is>
      </c>
      <c r="AD3" s="1" t="inlineStr">
        <is>
          <t>P28</t>
        </is>
      </c>
      <c r="AE3" s="1" t="inlineStr">
        <is>
          <t>P29</t>
        </is>
      </c>
      <c r="AF3" s="1" t="inlineStr">
        <is>
          <t>P30</t>
        </is>
      </c>
      <c r="AG3" s="1" t="inlineStr">
        <is>
          <t>P31</t>
        </is>
      </c>
      <c r="AH3" s="1" t="inlineStr">
        <is>
          <t>P32</t>
        </is>
      </c>
      <c r="AI3" s="1" t="inlineStr">
        <is>
          <t>P33</t>
        </is>
      </c>
      <c r="AJ3" s="1" t="inlineStr">
        <is>
          <t>P34</t>
        </is>
      </c>
      <c r="AK3" s="1" t="inlineStr">
        <is>
          <t>P35</t>
        </is>
      </c>
      <c r="AL3" s="1" t="inlineStr">
        <is>
          <t>P36</t>
        </is>
      </c>
      <c r="AM3" s="1" t="inlineStr">
        <is>
          <t>P37</t>
        </is>
      </c>
      <c r="AN3" s="1" t="inlineStr">
        <is>
          <t>P38</t>
        </is>
      </c>
      <c r="AO3" s="1" t="inlineStr">
        <is>
          <t>P39</t>
        </is>
      </c>
      <c r="AP3" s="1" t="inlineStr">
        <is>
          <t>P40</t>
        </is>
      </c>
      <c r="AQ3" s="1" t="inlineStr">
        <is>
          <t>P41</t>
        </is>
      </c>
      <c r="AR3" s="1" t="inlineStr">
        <is>
          <t>P42</t>
        </is>
      </c>
      <c r="AS3" s="1" t="inlineStr">
        <is>
          <t>P43</t>
        </is>
      </c>
      <c r="AT3" s="1" t="inlineStr">
        <is>
          <t>P44</t>
        </is>
      </c>
      <c r="AU3" s="1" t="inlineStr">
        <is>
          <t>P45</t>
        </is>
      </c>
      <c r="AV3" s="1" t="inlineStr">
        <is>
          <t>P46</t>
        </is>
      </c>
      <c r="AW3" s="1" t="inlineStr">
        <is>
          <t>P47</t>
        </is>
      </c>
      <c r="AX3" s="1" t="inlineStr">
        <is>
          <t>P48</t>
        </is>
      </c>
      <c r="AY3" s="1" t="inlineStr">
        <is>
          <t>P49</t>
        </is>
      </c>
      <c r="AZ3" s="1" t="inlineStr">
        <is>
          <t>P50</t>
        </is>
      </c>
      <c r="BA3" s="1" t="inlineStr">
        <is>
          <t>P51</t>
        </is>
      </c>
      <c r="BB3" s="1" t="inlineStr">
        <is>
          <t>P52</t>
        </is>
      </c>
    </row>
    <row r="4">
      <c r="A4" t="inlineStr">
        <is>
          <t>Operating year</t>
        </is>
      </c>
      <c r="C4" t="inlineStr">
        <is>
          <t>-</t>
        </is>
      </c>
      <c r="D4" t="inlineStr">
        <is>
          <t>-</t>
        </is>
      </c>
      <c r="E4" t="n">
        <v>1</v>
      </c>
      <c r="F4" t="n">
        <v>1</v>
      </c>
      <c r="G4" t="n">
        <v>2</v>
      </c>
      <c r="H4" t="n">
        <v>2</v>
      </c>
      <c r="I4" t="n">
        <v>3</v>
      </c>
      <c r="J4" t="n">
        <v>3</v>
      </c>
      <c r="K4" t="n">
        <v>4</v>
      </c>
      <c r="L4" t="n">
        <v>4</v>
      </c>
      <c r="M4" t="n">
        <v>5</v>
      </c>
      <c r="N4" t="n">
        <v>5</v>
      </c>
      <c r="O4" t="n">
        <v>6</v>
      </c>
      <c r="P4" t="n">
        <v>6</v>
      </c>
      <c r="Q4" t="n">
        <v>7</v>
      </c>
      <c r="R4" t="n">
        <v>7</v>
      </c>
      <c r="S4" t="n">
        <v>8</v>
      </c>
      <c r="T4" t="n">
        <v>8</v>
      </c>
      <c r="U4" t="n">
        <v>9</v>
      </c>
      <c r="V4" t="n">
        <v>9</v>
      </c>
      <c r="W4" t="n">
        <v>10</v>
      </c>
      <c r="X4" t="n">
        <v>10</v>
      </c>
      <c r="Y4" t="n">
        <v>11</v>
      </c>
      <c r="Z4" t="n">
        <v>11</v>
      </c>
      <c r="AA4" t="n">
        <v>12</v>
      </c>
      <c r="AB4" t="n">
        <v>12</v>
      </c>
      <c r="AC4" t="n">
        <v>13</v>
      </c>
      <c r="AD4" t="n">
        <v>13</v>
      </c>
      <c r="AE4" t="n">
        <v>14</v>
      </c>
      <c r="AF4" t="n">
        <v>14</v>
      </c>
      <c r="AG4" t="n">
        <v>15</v>
      </c>
      <c r="AH4" t="n">
        <v>15</v>
      </c>
      <c r="AI4" t="n">
        <v>16</v>
      </c>
      <c r="AJ4" t="n">
        <v>16</v>
      </c>
      <c r="AK4" t="n">
        <v>17</v>
      </c>
      <c r="AL4" t="n">
        <v>17</v>
      </c>
      <c r="AM4" t="n">
        <v>18</v>
      </c>
      <c r="AN4" t="n">
        <v>18</v>
      </c>
      <c r="AO4" t="n">
        <v>19</v>
      </c>
      <c r="AP4" t="n">
        <v>19</v>
      </c>
      <c r="AQ4" t="n">
        <v>20</v>
      </c>
      <c r="AR4" t="n">
        <v>20</v>
      </c>
      <c r="AS4" t="n">
        <v>21</v>
      </c>
      <c r="AT4" t="n">
        <v>21</v>
      </c>
      <c r="AU4" t="n">
        <v>22</v>
      </c>
      <c r="AV4" t="n">
        <v>22</v>
      </c>
      <c r="AW4" t="n">
        <v>23</v>
      </c>
      <c r="AX4" t="n">
        <v>23</v>
      </c>
      <c r="AY4" t="n">
        <v>24</v>
      </c>
      <c r="AZ4" t="n">
        <v>24</v>
      </c>
      <c r="BA4" t="n">
        <v>25</v>
      </c>
      <c r="BB4" t="n">
        <v>25</v>
      </c>
    </row>
    <row r="5">
      <c r="BD5" s="1" t="inlineStr">
        <is>
          <t>Y1 Amount (kEUR)</t>
        </is>
      </c>
    </row>
    <row r="6">
      <c r="A6" t="inlineStr">
        <is>
          <t>Technical Management</t>
        </is>
      </c>
      <c r="B6" t="inlineStr">
        <is>
          <t>kEUR</t>
        </is>
      </c>
      <c r="C6" t="n">
        <v>0</v>
      </c>
      <c r="D6" t="n">
        <v>0</v>
      </c>
      <c r="E6">
        <f>$BD$6/2*(1+'Inputs'!$C$24)^(1-1)</f>
        <v>75.0</v>
      </c>
      <c r="F6">
        <f>$BD$6/2*(1+'Inputs'!$C$24)^(1-1)</f>
        <v>75.0</v>
      </c>
      <c r="G6">
        <f>$BD$6/2*(1+'Inputs'!$C$24)^(2-1)</f>
        <v>76.5</v>
      </c>
      <c r="H6">
        <f>$BD$6/2*(1+'Inputs'!$C$24)^(2-1)</f>
        <v>76.5</v>
      </c>
      <c r="I6">
        <f>$BD$6/2*(1+'Inputs'!$C$24)^(3-1)</f>
        <v>78.03</v>
      </c>
      <c r="J6">
        <f>$BD$6/2*(1+'Inputs'!$C$24)^(3-1)</f>
        <v>78.03</v>
      </c>
      <c r="K6">
        <f>$BD$6/2*(1+'Inputs'!$C$24)^(4-1)</f>
        <v>79.59060000000001</v>
      </c>
      <c r="L6">
        <f>$BD$6/2*(1+'Inputs'!$C$24)^(4-1)</f>
        <v>79.59060000000001</v>
      </c>
      <c r="M6">
        <f>$BD$6/2*(1+'Inputs'!$C$24)^(5-1)</f>
        <v>81.182412</v>
      </c>
      <c r="N6">
        <f>$BD$6/2*(1+'Inputs'!$C$24)^(5-1)</f>
        <v>81.182412</v>
      </c>
      <c r="O6">
        <f>$BD$6/2*(1+'Inputs'!$C$24)^(6-1)</f>
        <v>82.80606024000001</v>
      </c>
      <c r="P6">
        <f>$BD$6/2*(1+'Inputs'!$C$24)^(6-1)</f>
        <v>82.80606024000001</v>
      </c>
      <c r="Q6">
        <f>$BD$6/2*(1+'Inputs'!$C$24)^(7-1)</f>
        <v>84.46218144480001</v>
      </c>
      <c r="R6">
        <f>$BD$6/2*(1+'Inputs'!$C$24)^(7-1)</f>
        <v>84.46218144480001</v>
      </c>
      <c r="S6">
        <f>$BD$6/2*(1+'Inputs'!$C$24)^(8-1)</f>
        <v>86.151425073696</v>
      </c>
      <c r="T6">
        <f>$BD$6/2*(1+'Inputs'!$C$24)^(8-1)</f>
        <v>86.151425073696</v>
      </c>
      <c r="U6">
        <f>$BD$6/2*(1+'Inputs'!$C$24)^(9-1)</f>
        <v>87.87445357516994</v>
      </c>
      <c r="V6">
        <f>$BD$6/2*(1+'Inputs'!$C$24)^(9-1)</f>
        <v>87.87445357516994</v>
      </c>
      <c r="W6">
        <f>$BD$6/2*(1+'Inputs'!$C$24)^(10-1)</f>
        <v>89.63194264667332</v>
      </c>
      <c r="X6">
        <f>$BD$6/2*(1+'Inputs'!$C$24)^(10-1)</f>
        <v>89.63194264667332</v>
      </c>
      <c r="Y6">
        <f>$BD$6/2*(1+'Inputs'!$C$24)^(11-1)</f>
        <v>91.4245814996068</v>
      </c>
      <c r="Z6">
        <f>$BD$6/2*(1+'Inputs'!$C$24)^(11-1)</f>
        <v>91.4245814996068</v>
      </c>
      <c r="AA6">
        <f>$BD$6/2*(1+'Inputs'!$C$24)^(12-1)</f>
        <v>93.25307312959893</v>
      </c>
      <c r="AB6">
        <f>$BD$6/2*(1+'Inputs'!$C$24)^(12-1)</f>
        <v>93.25307312959893</v>
      </c>
      <c r="AC6">
        <f>$BD$6/2*(1+'Inputs'!$C$24)^(13-1)</f>
        <v>95.11813459219091</v>
      </c>
      <c r="AD6">
        <f>$BD$6/2*(1+'Inputs'!$C$24)^(13-1)</f>
        <v>95.11813459219091</v>
      </c>
      <c r="AE6">
        <f>$BD$6/2*(1+'Inputs'!$C$24)^(14-1)</f>
        <v>97.02049728403475</v>
      </c>
      <c r="AF6">
        <f>$BD$6/2*(1+'Inputs'!$C$24)^(14-1)</f>
        <v>97.02049728403475</v>
      </c>
      <c r="AG6">
        <f>$BD$6/2*(1+'Inputs'!$C$24)^(15-1)</f>
        <v>98.96090722971543</v>
      </c>
      <c r="AH6">
        <f>$BD$6/2*(1+'Inputs'!$C$24)^(15-1)</f>
        <v>98.96090722971543</v>
      </c>
      <c r="AI6">
        <f>$BD$6/2*(1+'Inputs'!$C$24)^(16-1)</f>
        <v>100.94012537430974</v>
      </c>
      <c r="AJ6">
        <f>$BD$6/2*(1+'Inputs'!$C$24)^(16-1)</f>
        <v>100.94012537430974</v>
      </c>
      <c r="AK6">
        <f>$BD$6/2*(1+'Inputs'!$C$24)^(17-1)</f>
        <v>102.95892788179593</v>
      </c>
      <c r="AL6">
        <f>$BD$6/2*(1+'Inputs'!$C$24)^(17-1)</f>
        <v>102.95892788179593</v>
      </c>
      <c r="AM6">
        <f>$BD$6/2*(1+'Inputs'!$C$24)^(18-1)</f>
        <v>105.01810643943186</v>
      </c>
      <c r="AN6">
        <f>$BD$6/2*(1+'Inputs'!$C$24)^(18-1)</f>
        <v>105.01810643943186</v>
      </c>
      <c r="AO6">
        <f>$BD$6/2*(1+'Inputs'!$C$24)^(19-1)</f>
        <v>107.11846856822051</v>
      </c>
      <c r="AP6">
        <f>$BD$6/2*(1+'Inputs'!$C$24)^(19-1)</f>
        <v>107.11846856822051</v>
      </c>
      <c r="AQ6">
        <f>$BD$6/2*(1+'Inputs'!$C$24)^(20-1)</f>
        <v>109.2608379395849</v>
      </c>
      <c r="AR6">
        <f>$BD$6/2*(1+'Inputs'!$C$24)^(20-1)</f>
        <v>109.2608379395849</v>
      </c>
      <c r="AS6">
        <f>$BD$6/2*(1+'Inputs'!$C$24)^(21-1)</f>
        <v>111.44605469837661</v>
      </c>
      <c r="AT6">
        <f>$BD$6/2*(1+'Inputs'!$C$24)^(21-1)</f>
        <v>111.44605469837661</v>
      </c>
      <c r="AU6">
        <f>$BD$6/2*(1+'Inputs'!$C$24)^(22-1)</f>
        <v>113.67497579234414</v>
      </c>
      <c r="AV6">
        <f>$BD$6/2*(1+'Inputs'!$C$24)^(22-1)</f>
        <v>113.67497579234414</v>
      </c>
      <c r="AW6">
        <f>$BD$6/2*(1+'Inputs'!$C$24)^(23-1)</f>
        <v>115.94847530819104</v>
      </c>
      <c r="AX6">
        <f>$BD$6/2*(1+'Inputs'!$C$24)^(23-1)</f>
        <v>115.94847530819104</v>
      </c>
      <c r="AY6">
        <f>$BD$6/2*(1+'Inputs'!$C$24)^(24-1)</f>
        <v>118.26744481435486</v>
      </c>
      <c r="AZ6">
        <f>$BD$6/2*(1+'Inputs'!$C$24)^(24-1)</f>
        <v>118.26744481435486</v>
      </c>
      <c r="BA6">
        <f>$BD$6/2*(1+'Inputs'!$C$24)^(25-1)</f>
        <v>120.63279371064196</v>
      </c>
      <c r="BB6">
        <f>$BD$6/2*(1+'Inputs'!$C$24)^(25-1)</f>
        <v>120.63279371064196</v>
      </c>
      <c r="BD6" s="2" t="n">
        <v>150</v>
      </c>
    </row>
    <row r="7">
      <c r="A7" t="inlineStr">
        <is>
          <t>Insurance</t>
        </is>
      </c>
      <c r="B7" t="inlineStr">
        <is>
          <t>kEUR</t>
        </is>
      </c>
      <c r="C7" t="n">
        <v>0</v>
      </c>
      <c r="D7" t="n">
        <v>0</v>
      </c>
      <c r="E7">
        <f>$BD$7/2*(1+'Inputs'!$C$24)^(1-1)</f>
        <v>50.0</v>
      </c>
      <c r="F7">
        <f>$BD$7/2*(1+'Inputs'!$C$24)^(1-1)</f>
        <v>50.0</v>
      </c>
      <c r="G7">
        <f>$BD$7/2*(1+'Inputs'!$C$24)^(2-1)</f>
        <v>51.0</v>
      </c>
      <c r="H7">
        <f>$BD$7/2*(1+'Inputs'!$C$24)^(2-1)</f>
        <v>51.0</v>
      </c>
      <c r="I7">
        <f>$BD$7/2*(1+'Inputs'!$C$24)^(3-1)</f>
        <v>52.019999999999996</v>
      </c>
      <c r="J7">
        <f>$BD$7/2*(1+'Inputs'!$C$24)^(3-1)</f>
        <v>52.019999999999996</v>
      </c>
      <c r="K7">
        <f>$BD$7/2*(1+'Inputs'!$C$24)^(4-1)</f>
        <v>53.06040000000001</v>
      </c>
      <c r="L7">
        <f>$BD$7/2*(1+'Inputs'!$C$24)^(4-1)</f>
        <v>53.06040000000001</v>
      </c>
      <c r="M7">
        <f>$BD$7/2*(1+'Inputs'!$C$24)^(5-1)</f>
        <v>54.121608</v>
      </c>
      <c r="N7">
        <f>$BD$7/2*(1+'Inputs'!$C$24)^(5-1)</f>
        <v>54.121608</v>
      </c>
      <c r="O7">
        <f>$BD$7/2*(1+'Inputs'!$C$24)^(6-1)</f>
        <v>55.20404016</v>
      </c>
      <c r="P7">
        <f>$BD$7/2*(1+'Inputs'!$C$24)^(6-1)</f>
        <v>55.20404016</v>
      </c>
      <c r="Q7">
        <f>$BD$7/2*(1+'Inputs'!$C$24)^(7-1)</f>
        <v>56.308120963200004</v>
      </c>
      <c r="R7">
        <f>$BD$7/2*(1+'Inputs'!$C$24)^(7-1)</f>
        <v>56.308120963200004</v>
      </c>
      <c r="S7">
        <f>$BD$7/2*(1+'Inputs'!$C$24)^(8-1)</f>
        <v>57.434283382464</v>
      </c>
      <c r="T7">
        <f>$BD$7/2*(1+'Inputs'!$C$24)^(8-1)</f>
        <v>57.434283382464</v>
      </c>
      <c r="U7">
        <f>$BD$7/2*(1+'Inputs'!$C$24)^(9-1)</f>
        <v>58.582969050113284</v>
      </c>
      <c r="V7">
        <f>$BD$7/2*(1+'Inputs'!$C$24)^(9-1)</f>
        <v>58.582969050113284</v>
      </c>
      <c r="W7">
        <f>$BD$7/2*(1+'Inputs'!$C$24)^(10-1)</f>
        <v>59.754628431115556</v>
      </c>
      <c r="X7">
        <f>$BD$7/2*(1+'Inputs'!$C$24)^(10-1)</f>
        <v>59.754628431115556</v>
      </c>
      <c r="Y7">
        <f>$BD$7/2*(1+'Inputs'!$C$24)^(11-1)</f>
        <v>60.94972099973786</v>
      </c>
      <c r="Z7">
        <f>$BD$7/2*(1+'Inputs'!$C$24)^(11-1)</f>
        <v>60.94972099973786</v>
      </c>
      <c r="AA7">
        <f>$BD$7/2*(1+'Inputs'!$C$24)^(12-1)</f>
        <v>62.16871541973262</v>
      </c>
      <c r="AB7">
        <f>$BD$7/2*(1+'Inputs'!$C$24)^(12-1)</f>
        <v>62.16871541973262</v>
      </c>
      <c r="AC7">
        <f>$BD$7/2*(1+'Inputs'!$C$24)^(13-1)</f>
        <v>63.41208972812728</v>
      </c>
      <c r="AD7">
        <f>$BD$7/2*(1+'Inputs'!$C$24)^(13-1)</f>
        <v>63.41208972812728</v>
      </c>
      <c r="AE7">
        <f>$BD$7/2*(1+'Inputs'!$C$24)^(14-1)</f>
        <v>64.68033152268983</v>
      </c>
      <c r="AF7">
        <f>$BD$7/2*(1+'Inputs'!$C$24)^(14-1)</f>
        <v>64.68033152268983</v>
      </c>
      <c r="AG7">
        <f>$BD$7/2*(1+'Inputs'!$C$24)^(15-1)</f>
        <v>65.97393815314362</v>
      </c>
      <c r="AH7">
        <f>$BD$7/2*(1+'Inputs'!$C$24)^(15-1)</f>
        <v>65.97393815314362</v>
      </c>
      <c r="AI7">
        <f>$BD$7/2*(1+'Inputs'!$C$24)^(16-1)</f>
        <v>67.2934169162065</v>
      </c>
      <c r="AJ7">
        <f>$BD$7/2*(1+'Inputs'!$C$24)^(16-1)</f>
        <v>67.2934169162065</v>
      </c>
      <c r="AK7">
        <f>$BD$7/2*(1+'Inputs'!$C$24)^(17-1)</f>
        <v>68.63928525453062</v>
      </c>
      <c r="AL7">
        <f>$BD$7/2*(1+'Inputs'!$C$24)^(17-1)</f>
        <v>68.63928525453062</v>
      </c>
      <c r="AM7">
        <f>$BD$7/2*(1+'Inputs'!$C$24)^(18-1)</f>
        <v>70.01207095962124</v>
      </c>
      <c r="AN7">
        <f>$BD$7/2*(1+'Inputs'!$C$24)^(18-1)</f>
        <v>70.01207095962124</v>
      </c>
      <c r="AO7">
        <f>$BD$7/2*(1+'Inputs'!$C$24)^(19-1)</f>
        <v>71.41231237881367</v>
      </c>
      <c r="AP7">
        <f>$BD$7/2*(1+'Inputs'!$C$24)^(19-1)</f>
        <v>71.41231237881367</v>
      </c>
      <c r="AQ7">
        <f>$BD$7/2*(1+'Inputs'!$C$24)^(20-1)</f>
        <v>72.84055862638994</v>
      </c>
      <c r="AR7">
        <f>$BD$7/2*(1+'Inputs'!$C$24)^(20-1)</f>
        <v>72.84055862638994</v>
      </c>
      <c r="AS7">
        <f>$BD$7/2*(1+'Inputs'!$C$24)^(21-1)</f>
        <v>74.29736979891774</v>
      </c>
      <c r="AT7">
        <f>$BD$7/2*(1+'Inputs'!$C$24)^(21-1)</f>
        <v>74.29736979891774</v>
      </c>
      <c r="AU7">
        <f>$BD$7/2*(1+'Inputs'!$C$24)^(22-1)</f>
        <v>75.7833171948961</v>
      </c>
      <c r="AV7">
        <f>$BD$7/2*(1+'Inputs'!$C$24)^(22-1)</f>
        <v>75.7833171948961</v>
      </c>
      <c r="AW7">
        <f>$BD$7/2*(1+'Inputs'!$C$24)^(23-1)</f>
        <v>77.29898353879402</v>
      </c>
      <c r="AX7">
        <f>$BD$7/2*(1+'Inputs'!$C$24)^(23-1)</f>
        <v>77.29898353879402</v>
      </c>
      <c r="AY7">
        <f>$BD$7/2*(1+'Inputs'!$C$24)^(24-1)</f>
        <v>78.84496320956991</v>
      </c>
      <c r="AZ7">
        <f>$BD$7/2*(1+'Inputs'!$C$24)^(24-1)</f>
        <v>78.84496320956991</v>
      </c>
      <c r="BA7">
        <f>$BD$7/2*(1+'Inputs'!$C$24)^(25-1)</f>
        <v>80.42186247376131</v>
      </c>
      <c r="BB7">
        <f>$BD$7/2*(1+'Inputs'!$C$24)^(25-1)</f>
        <v>80.42186247376131</v>
      </c>
      <c r="BD7" s="2" t="n">
        <v>100</v>
      </c>
    </row>
    <row r="8">
      <c r="A8" t="inlineStr">
        <is>
          <t>Maintenance</t>
        </is>
      </c>
      <c r="B8" t="inlineStr">
        <is>
          <t>kEUR</t>
        </is>
      </c>
      <c r="C8" t="n">
        <v>0</v>
      </c>
      <c r="D8" t="n">
        <v>0</v>
      </c>
      <c r="E8">
        <f>$BD$8/2*(1+'Inputs'!$C$24)^(1-1)</f>
        <v>40.0</v>
      </c>
      <c r="F8">
        <f>$BD$8/2*(1+'Inputs'!$C$24)^(1-1)</f>
        <v>40.0</v>
      </c>
      <c r="G8">
        <f>$BD$8/2*(1+'Inputs'!$C$24)^(2-1)</f>
        <v>40.8</v>
      </c>
      <c r="H8">
        <f>$BD$8/2*(1+'Inputs'!$C$24)^(2-1)</f>
        <v>40.8</v>
      </c>
      <c r="I8">
        <f>$BD$8/2*(1+'Inputs'!$C$24)^(3-1)</f>
        <v>41.616</v>
      </c>
      <c r="J8">
        <f>$BD$8/2*(1+'Inputs'!$C$24)^(3-1)</f>
        <v>41.616</v>
      </c>
      <c r="K8">
        <f>$BD$8/2*(1+'Inputs'!$C$24)^(4-1)</f>
        <v>42.44832000000001</v>
      </c>
      <c r="L8">
        <f>$BD$8/2*(1+'Inputs'!$C$24)^(4-1)</f>
        <v>42.44832000000001</v>
      </c>
      <c r="M8">
        <f>$BD$8/2*(1+'Inputs'!$C$24)^(5-1)</f>
        <v>43.2972864</v>
      </c>
      <c r="N8">
        <f>$BD$8/2*(1+'Inputs'!$C$24)^(5-1)</f>
        <v>43.2972864</v>
      </c>
      <c r="O8">
        <f>$BD$8/2*(1+'Inputs'!$C$24)^(6-1)</f>
        <v>44.163232128000004</v>
      </c>
      <c r="P8">
        <f>$BD$8/2*(1+'Inputs'!$C$24)^(6-1)</f>
        <v>44.163232128000004</v>
      </c>
      <c r="Q8">
        <f>$BD$8/2*(1+'Inputs'!$C$24)^(7-1)</f>
        <v>45.046496770560005</v>
      </c>
      <c r="R8">
        <f>$BD$8/2*(1+'Inputs'!$C$24)^(7-1)</f>
        <v>45.046496770560005</v>
      </c>
      <c r="S8">
        <f>$BD$8/2*(1+'Inputs'!$C$24)^(8-1)</f>
        <v>45.9474267059712</v>
      </c>
      <c r="T8">
        <f>$BD$8/2*(1+'Inputs'!$C$24)^(8-1)</f>
        <v>45.9474267059712</v>
      </c>
      <c r="U8">
        <f>$BD$8/2*(1+'Inputs'!$C$24)^(9-1)</f>
        <v>46.86637524009063</v>
      </c>
      <c r="V8">
        <f>$BD$8/2*(1+'Inputs'!$C$24)^(9-1)</f>
        <v>46.86637524009063</v>
      </c>
      <c r="W8">
        <f>$BD$8/2*(1+'Inputs'!$C$24)^(10-1)</f>
        <v>47.80370274489244</v>
      </c>
      <c r="X8">
        <f>$BD$8/2*(1+'Inputs'!$C$24)^(10-1)</f>
        <v>47.80370274489244</v>
      </c>
      <c r="Y8">
        <f>$BD$8/2*(1+'Inputs'!$C$24)^(11-1)</f>
        <v>48.759776799790295</v>
      </c>
      <c r="Z8">
        <f>$BD$8/2*(1+'Inputs'!$C$24)^(11-1)</f>
        <v>48.759776799790295</v>
      </c>
      <c r="AA8">
        <f>$BD$8/2*(1+'Inputs'!$C$24)^(12-1)</f>
        <v>49.7349723357861</v>
      </c>
      <c r="AB8">
        <f>$BD$8/2*(1+'Inputs'!$C$24)^(12-1)</f>
        <v>49.7349723357861</v>
      </c>
      <c r="AC8">
        <f>$BD$8/2*(1+'Inputs'!$C$24)^(13-1)</f>
        <v>50.72967178250182</v>
      </c>
      <c r="AD8">
        <f>$BD$8/2*(1+'Inputs'!$C$24)^(13-1)</f>
        <v>50.72967178250182</v>
      </c>
      <c r="AE8">
        <f>$BD$8/2*(1+'Inputs'!$C$24)^(14-1)</f>
        <v>51.74426521815186</v>
      </c>
      <c r="AF8">
        <f>$BD$8/2*(1+'Inputs'!$C$24)^(14-1)</f>
        <v>51.74426521815186</v>
      </c>
      <c r="AG8">
        <f>$BD$8/2*(1+'Inputs'!$C$24)^(15-1)</f>
        <v>52.7791505225149</v>
      </c>
      <c r="AH8">
        <f>$BD$8/2*(1+'Inputs'!$C$24)^(15-1)</f>
        <v>52.7791505225149</v>
      </c>
      <c r="AI8">
        <f>$BD$8/2*(1+'Inputs'!$C$24)^(16-1)</f>
        <v>53.834733532965195</v>
      </c>
      <c r="AJ8">
        <f>$BD$8/2*(1+'Inputs'!$C$24)^(16-1)</f>
        <v>53.834733532965195</v>
      </c>
      <c r="AK8">
        <f>$BD$8/2*(1+'Inputs'!$C$24)^(17-1)</f>
        <v>54.911428203624496</v>
      </c>
      <c r="AL8">
        <f>$BD$8/2*(1+'Inputs'!$C$24)^(17-1)</f>
        <v>54.911428203624496</v>
      </c>
      <c r="AM8">
        <f>$BD$8/2*(1+'Inputs'!$C$24)^(18-1)</f>
        <v>56.009656767696995</v>
      </c>
      <c r="AN8">
        <f>$BD$8/2*(1+'Inputs'!$C$24)^(18-1)</f>
        <v>56.009656767696995</v>
      </c>
      <c r="AO8">
        <f>$BD$8/2*(1+'Inputs'!$C$24)^(19-1)</f>
        <v>57.12984990305094</v>
      </c>
      <c r="AP8">
        <f>$BD$8/2*(1+'Inputs'!$C$24)^(19-1)</f>
        <v>57.12984990305094</v>
      </c>
      <c r="AQ8">
        <f>$BD$8/2*(1+'Inputs'!$C$24)^(20-1)</f>
        <v>58.27244690111195</v>
      </c>
      <c r="AR8">
        <f>$BD$8/2*(1+'Inputs'!$C$24)^(20-1)</f>
        <v>58.27244690111195</v>
      </c>
      <c r="AS8">
        <f>$BD$8/2*(1+'Inputs'!$C$24)^(21-1)</f>
        <v>59.4378958391342</v>
      </c>
      <c r="AT8">
        <f>$BD$8/2*(1+'Inputs'!$C$24)^(21-1)</f>
        <v>59.4378958391342</v>
      </c>
      <c r="AU8">
        <f>$BD$8/2*(1+'Inputs'!$C$24)^(22-1)</f>
        <v>60.62665375591688</v>
      </c>
      <c r="AV8">
        <f>$BD$8/2*(1+'Inputs'!$C$24)^(22-1)</f>
        <v>60.62665375591688</v>
      </c>
      <c r="AW8">
        <f>$BD$8/2*(1+'Inputs'!$C$24)^(23-1)</f>
        <v>61.839186831035214</v>
      </c>
      <c r="AX8">
        <f>$BD$8/2*(1+'Inputs'!$C$24)^(23-1)</f>
        <v>61.839186831035214</v>
      </c>
      <c r="AY8">
        <f>$BD$8/2*(1+'Inputs'!$C$24)^(24-1)</f>
        <v>63.07597056765593</v>
      </c>
      <c r="AZ8">
        <f>$BD$8/2*(1+'Inputs'!$C$24)^(24-1)</f>
        <v>63.07597056765593</v>
      </c>
      <c r="BA8">
        <f>$BD$8/2*(1+'Inputs'!$C$24)^(25-1)</f>
        <v>64.33748997900905</v>
      </c>
      <c r="BB8">
        <f>$BD$8/2*(1+'Inputs'!$C$24)^(25-1)</f>
        <v>64.33748997900905</v>
      </c>
      <c r="BD8" s="2" t="n">
        <v>80</v>
      </c>
    </row>
    <row r="9">
      <c r="A9" t="inlineStr">
        <is>
          <t>Lease &amp; Tax</t>
        </is>
      </c>
      <c r="B9" t="inlineStr">
        <is>
          <t>kEUR</t>
        </is>
      </c>
      <c r="C9" t="n">
        <v>0</v>
      </c>
      <c r="D9" t="n">
        <v>0</v>
      </c>
      <c r="E9">
        <f>$BD$9/2*(1+'Inputs'!$C$24)^(1-1)</f>
        <v>25.0</v>
      </c>
      <c r="F9">
        <f>$BD$9/2*(1+'Inputs'!$C$24)^(1-1)</f>
        <v>25.0</v>
      </c>
      <c r="G9">
        <f>$BD$9/2*(1+'Inputs'!$C$24)^(2-1)</f>
        <v>25.5</v>
      </c>
      <c r="H9">
        <f>$BD$9/2*(1+'Inputs'!$C$24)^(2-1)</f>
        <v>25.5</v>
      </c>
      <c r="I9">
        <f>$BD$9/2*(1+'Inputs'!$C$24)^(3-1)</f>
        <v>26.009999999999998</v>
      </c>
      <c r="J9">
        <f>$BD$9/2*(1+'Inputs'!$C$24)^(3-1)</f>
        <v>26.009999999999998</v>
      </c>
      <c r="K9">
        <f>$BD$9/2*(1+'Inputs'!$C$24)^(4-1)</f>
        <v>26.530200000000004</v>
      </c>
      <c r="L9">
        <f>$BD$9/2*(1+'Inputs'!$C$24)^(4-1)</f>
        <v>26.530200000000004</v>
      </c>
      <c r="M9">
        <f>$BD$9/2*(1+'Inputs'!$C$24)^(5-1)</f>
        <v>27.060804</v>
      </c>
      <c r="N9">
        <f>$BD$9/2*(1+'Inputs'!$C$24)^(5-1)</f>
        <v>27.060804</v>
      </c>
      <c r="O9">
        <f>$BD$9/2*(1+'Inputs'!$C$24)^(6-1)</f>
        <v>27.60202008</v>
      </c>
      <c r="P9">
        <f>$BD$9/2*(1+'Inputs'!$C$24)^(6-1)</f>
        <v>27.60202008</v>
      </c>
      <c r="Q9">
        <f>$BD$9/2*(1+'Inputs'!$C$24)^(7-1)</f>
        <v>28.154060481600002</v>
      </c>
      <c r="R9">
        <f>$BD$9/2*(1+'Inputs'!$C$24)^(7-1)</f>
        <v>28.154060481600002</v>
      </c>
      <c r="S9">
        <f>$BD$9/2*(1+'Inputs'!$C$24)^(8-1)</f>
        <v>28.717141691232</v>
      </c>
      <c r="T9">
        <f>$BD$9/2*(1+'Inputs'!$C$24)^(8-1)</f>
        <v>28.717141691232</v>
      </c>
      <c r="U9">
        <f>$BD$9/2*(1+'Inputs'!$C$24)^(9-1)</f>
        <v>29.291484525056642</v>
      </c>
      <c r="V9">
        <f>$BD$9/2*(1+'Inputs'!$C$24)^(9-1)</f>
        <v>29.291484525056642</v>
      </c>
      <c r="W9">
        <f>$BD$9/2*(1+'Inputs'!$C$24)^(10-1)</f>
        <v>29.877314215557778</v>
      </c>
      <c r="X9">
        <f>$BD$9/2*(1+'Inputs'!$C$24)^(10-1)</f>
        <v>29.877314215557778</v>
      </c>
      <c r="Y9">
        <f>$BD$9/2*(1+'Inputs'!$C$24)^(11-1)</f>
        <v>30.47486049986893</v>
      </c>
      <c r="Z9">
        <f>$BD$9/2*(1+'Inputs'!$C$24)^(11-1)</f>
        <v>30.47486049986893</v>
      </c>
      <c r="AA9">
        <f>$BD$9/2*(1+'Inputs'!$C$24)^(12-1)</f>
        <v>31.08435770986631</v>
      </c>
      <c r="AB9">
        <f>$BD$9/2*(1+'Inputs'!$C$24)^(12-1)</f>
        <v>31.08435770986631</v>
      </c>
      <c r="AC9">
        <f>$BD$9/2*(1+'Inputs'!$C$24)^(13-1)</f>
        <v>31.70604486406364</v>
      </c>
      <c r="AD9">
        <f>$BD$9/2*(1+'Inputs'!$C$24)^(13-1)</f>
        <v>31.70604486406364</v>
      </c>
      <c r="AE9">
        <f>$BD$9/2*(1+'Inputs'!$C$24)^(14-1)</f>
        <v>32.34016576134491</v>
      </c>
      <c r="AF9">
        <f>$BD$9/2*(1+'Inputs'!$C$24)^(14-1)</f>
        <v>32.34016576134491</v>
      </c>
      <c r="AG9">
        <f>$BD$9/2*(1+'Inputs'!$C$24)^(15-1)</f>
        <v>32.98696907657181</v>
      </c>
      <c r="AH9">
        <f>$BD$9/2*(1+'Inputs'!$C$24)^(15-1)</f>
        <v>32.98696907657181</v>
      </c>
      <c r="AI9">
        <f>$BD$9/2*(1+'Inputs'!$C$24)^(16-1)</f>
        <v>33.64670845810325</v>
      </c>
      <c r="AJ9">
        <f>$BD$9/2*(1+'Inputs'!$C$24)^(16-1)</f>
        <v>33.64670845810325</v>
      </c>
      <c r="AK9">
        <f>$BD$9/2*(1+'Inputs'!$C$24)^(17-1)</f>
        <v>34.31964262726531</v>
      </c>
      <c r="AL9">
        <f>$BD$9/2*(1+'Inputs'!$C$24)^(17-1)</f>
        <v>34.31964262726531</v>
      </c>
      <c r="AM9">
        <f>$BD$9/2*(1+'Inputs'!$C$24)^(18-1)</f>
        <v>35.00603547981062</v>
      </c>
      <c r="AN9">
        <f>$BD$9/2*(1+'Inputs'!$C$24)^(18-1)</f>
        <v>35.00603547981062</v>
      </c>
      <c r="AO9">
        <f>$BD$9/2*(1+'Inputs'!$C$24)^(19-1)</f>
        <v>35.70615618940683</v>
      </c>
      <c r="AP9">
        <f>$BD$9/2*(1+'Inputs'!$C$24)^(19-1)</f>
        <v>35.70615618940683</v>
      </c>
      <c r="AQ9">
        <f>$BD$9/2*(1+'Inputs'!$C$24)^(20-1)</f>
        <v>36.42027931319497</v>
      </c>
      <c r="AR9">
        <f>$BD$9/2*(1+'Inputs'!$C$24)^(20-1)</f>
        <v>36.42027931319497</v>
      </c>
      <c r="AS9">
        <f>$BD$9/2*(1+'Inputs'!$C$24)^(21-1)</f>
        <v>37.14868489945887</v>
      </c>
      <c r="AT9">
        <f>$BD$9/2*(1+'Inputs'!$C$24)^(21-1)</f>
        <v>37.14868489945887</v>
      </c>
      <c r="AU9">
        <f>$BD$9/2*(1+'Inputs'!$C$24)^(22-1)</f>
        <v>37.89165859744805</v>
      </c>
      <c r="AV9">
        <f>$BD$9/2*(1+'Inputs'!$C$24)^(22-1)</f>
        <v>37.89165859744805</v>
      </c>
      <c r="AW9">
        <f>$BD$9/2*(1+'Inputs'!$C$24)^(23-1)</f>
        <v>38.64949176939701</v>
      </c>
      <c r="AX9">
        <f>$BD$9/2*(1+'Inputs'!$C$24)^(23-1)</f>
        <v>38.64949176939701</v>
      </c>
      <c r="AY9">
        <f>$BD$9/2*(1+'Inputs'!$C$24)^(24-1)</f>
        <v>39.422481604784956</v>
      </c>
      <c r="AZ9">
        <f>$BD$9/2*(1+'Inputs'!$C$24)^(24-1)</f>
        <v>39.422481604784956</v>
      </c>
      <c r="BA9">
        <f>$BD$9/2*(1+'Inputs'!$C$24)^(25-1)</f>
        <v>40.210931236880654</v>
      </c>
      <c r="BB9">
        <f>$BD$9/2*(1+'Inputs'!$C$24)^(25-1)</f>
        <v>40.210931236880654</v>
      </c>
      <c r="BD9" s="2" t="n">
        <v>50</v>
      </c>
    </row>
    <row r="10">
      <c r="A10" s="1" t="inlineStr">
        <is>
          <t>Total OpEx</t>
        </is>
      </c>
      <c r="C10" s="1">
        <f>SUM(C6:C9)</f>
        <v>0.0</v>
      </c>
      <c r="D10" s="1">
        <f>SUM(D6:D9)</f>
        <v>0.0</v>
      </c>
      <c r="E10" s="1">
        <f>SUM(E6:E9)</f>
        <v>190.0</v>
      </c>
      <c r="F10" s="1">
        <f>SUM(F6:F9)</f>
        <v>190.0</v>
      </c>
      <c r="G10" s="1">
        <f>SUM(G6:G9)</f>
        <v>193.8</v>
      </c>
      <c r="H10" s="1">
        <f>SUM(H6:H9)</f>
        <v>193.8</v>
      </c>
      <c r="I10" s="1">
        <f>SUM(I6:I9)</f>
        <v>197.676</v>
      </c>
      <c r="J10" s="1">
        <f>SUM(J6:J9)</f>
        <v>197.676</v>
      </c>
      <c r="K10" s="1">
        <f>SUM(K6:K9)</f>
        <v>201.62952000000004</v>
      </c>
      <c r="L10" s="1">
        <f>SUM(L6:L9)</f>
        <v>201.62952000000004</v>
      </c>
      <c r="M10" s="1">
        <f>SUM(M6:M9)</f>
        <v>205.6621104</v>
      </c>
      <c r="N10" s="1">
        <f>SUM(N6:N9)</f>
        <v>205.6621104</v>
      </c>
      <c r="O10" s="1">
        <f>SUM(O6:O9)</f>
        <v>209.775352608</v>
      </c>
      <c r="P10" s="1">
        <f>SUM(P6:P9)</f>
        <v>209.775352608</v>
      </c>
      <c r="Q10" s="1">
        <f>SUM(Q6:Q9)</f>
        <v>213.97085966016002</v>
      </c>
      <c r="R10" s="1">
        <f>SUM(R6:R9)</f>
        <v>213.97085966016002</v>
      </c>
      <c r="S10" s="1">
        <f>SUM(S6:S9)</f>
        <v>218.2502768533632</v>
      </c>
      <c r="T10" s="1">
        <f>SUM(T6:T9)</f>
        <v>218.2502768533632</v>
      </c>
      <c r="U10" s="1">
        <f>SUM(U6:U9)</f>
        <v>222.61528239043048</v>
      </c>
      <c r="V10" s="1">
        <f>SUM(V6:V9)</f>
        <v>222.61528239043048</v>
      </c>
      <c r="W10" s="1">
        <f>SUM(W6:W9)</f>
        <v>227.0675880382391</v>
      </c>
      <c r="X10" s="1">
        <f>SUM(X6:X9)</f>
        <v>227.0675880382391</v>
      </c>
      <c r="Y10" s="1">
        <f>SUM(Y6:Y9)</f>
        <v>231.60893979900388</v>
      </c>
      <c r="Z10" s="1">
        <f>SUM(Z6:Z9)</f>
        <v>231.60893979900388</v>
      </c>
      <c r="AA10" s="1">
        <f>SUM(AA6:AA9)</f>
        <v>236.24111859498396</v>
      </c>
      <c r="AB10" s="1">
        <f>SUM(AB6:AB9)</f>
        <v>236.24111859498396</v>
      </c>
      <c r="AC10" s="1">
        <f>SUM(AC6:AC9)</f>
        <v>240.96594096688364</v>
      </c>
      <c r="AD10" s="1">
        <f>SUM(AD6:AD9)</f>
        <v>240.96594096688364</v>
      </c>
      <c r="AE10" s="1">
        <f>SUM(AE6:AE9)</f>
        <v>245.78525978622136</v>
      </c>
      <c r="AF10" s="1">
        <f>SUM(AF6:AF9)</f>
        <v>245.78525978622136</v>
      </c>
      <c r="AG10" s="1">
        <f>SUM(AG6:AG9)</f>
        <v>250.7009649819458</v>
      </c>
      <c r="AH10" s="1">
        <f>SUM(AH6:AH9)</f>
        <v>250.7009649819458</v>
      </c>
      <c r="AI10" s="1">
        <f>SUM(AI6:AI9)</f>
        <v>255.7149842815847</v>
      </c>
      <c r="AJ10" s="1">
        <f>SUM(AJ6:AJ9)</f>
        <v>255.7149842815847</v>
      </c>
      <c r="AK10" s="1">
        <f>SUM(AK6:AK9)</f>
        <v>260.8292839672163</v>
      </c>
      <c r="AL10" s="1">
        <f>SUM(AL6:AL9)</f>
        <v>260.8292839672163</v>
      </c>
      <c r="AM10" s="1">
        <f>SUM(AM6:AM9)</f>
        <v>266.04586964656073</v>
      </c>
      <c r="AN10" s="1">
        <f>SUM(AN6:AN9)</f>
        <v>266.04586964656073</v>
      </c>
      <c r="AO10" s="1">
        <f>SUM(AO6:AO9)</f>
        <v>271.36678703949195</v>
      </c>
      <c r="AP10" s="1">
        <f>SUM(AP6:AP9)</f>
        <v>271.36678703949195</v>
      </c>
      <c r="AQ10" s="1">
        <f>SUM(AQ6:AQ9)</f>
        <v>276.7941227802817</v>
      </c>
      <c r="AR10" s="1">
        <f>SUM(AR6:AR9)</f>
        <v>276.7941227802817</v>
      </c>
      <c r="AS10" s="1">
        <f>SUM(AS6:AS9)</f>
        <v>282.3300052358874</v>
      </c>
      <c r="AT10" s="1">
        <f>SUM(AT6:AT9)</f>
        <v>282.3300052358874</v>
      </c>
      <c r="AU10" s="1">
        <f>SUM(AU6:AU9)</f>
        <v>287.97660534060515</v>
      </c>
      <c r="AV10" s="1">
        <f>SUM(AV6:AV9)</f>
        <v>287.97660534060515</v>
      </c>
      <c r="AW10" s="1">
        <f>SUM(AW6:AW9)</f>
        <v>293.7361374474173</v>
      </c>
      <c r="AX10" s="1">
        <f>SUM(AX6:AX9)</f>
        <v>293.7361374474173</v>
      </c>
      <c r="AY10" s="1">
        <f>SUM(AY6:AY9)</f>
        <v>299.61086019636565</v>
      </c>
      <c r="AZ10" s="1">
        <f>SUM(AZ6:AZ9)</f>
        <v>299.61086019636565</v>
      </c>
      <c r="BA10" s="1">
        <f>SUM(BA6:BA9)</f>
        <v>305.60307740029293</v>
      </c>
      <c r="BB10" s="1">
        <f>SUM(BB6:BB9)</f>
        <v>305.60307740029293</v>
      </c>
    </row>
    <row r="12">
      <c r="A12" s="1" t="inlineStr">
        <is>
          <t>TOTAL OPEX (kEUR, life of project)</t>
        </is>
      </c>
      <c r="C12" s="1">
        <f>SUM(C10:BB10)</f>
        <v>12171.513894829874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B15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</cols>
  <sheetData>
    <row r="1">
      <c r="A1" s="1" t="inlineStr">
        <is>
          <t>Generic Solar PV — Revenue</t>
        </is>
      </c>
    </row>
    <row r="3">
      <c r="A3" t="inlineStr">
        <is>
          <t>Period</t>
        </is>
      </c>
      <c r="C3" s="1" t="inlineStr">
        <is>
          <t>P1</t>
        </is>
      </c>
      <c r="D3" s="1" t="inlineStr">
        <is>
          <t>P2</t>
        </is>
      </c>
      <c r="E3" s="1" t="inlineStr">
        <is>
          <t>P3</t>
        </is>
      </c>
      <c r="F3" s="1" t="inlineStr">
        <is>
          <t>P4</t>
        </is>
      </c>
      <c r="G3" s="1" t="inlineStr">
        <is>
          <t>P5</t>
        </is>
      </c>
      <c r="H3" s="1" t="inlineStr">
        <is>
          <t>P6</t>
        </is>
      </c>
      <c r="I3" s="1" t="inlineStr">
        <is>
          <t>P7</t>
        </is>
      </c>
      <c r="J3" s="1" t="inlineStr">
        <is>
          <t>P8</t>
        </is>
      </c>
      <c r="K3" s="1" t="inlineStr">
        <is>
          <t>P9</t>
        </is>
      </c>
      <c r="L3" s="1" t="inlineStr">
        <is>
          <t>P10</t>
        </is>
      </c>
      <c r="M3" s="1" t="inlineStr">
        <is>
          <t>P11</t>
        </is>
      </c>
      <c r="N3" s="1" t="inlineStr">
        <is>
          <t>P12</t>
        </is>
      </c>
      <c r="O3" s="1" t="inlineStr">
        <is>
          <t>P13</t>
        </is>
      </c>
      <c r="P3" s="1" t="inlineStr">
        <is>
          <t>P14</t>
        </is>
      </c>
      <c r="Q3" s="1" t="inlineStr">
        <is>
          <t>P15</t>
        </is>
      </c>
      <c r="R3" s="1" t="inlineStr">
        <is>
          <t>P16</t>
        </is>
      </c>
      <c r="S3" s="1" t="inlineStr">
        <is>
          <t>P17</t>
        </is>
      </c>
      <c r="T3" s="1" t="inlineStr">
        <is>
          <t>P18</t>
        </is>
      </c>
      <c r="U3" s="1" t="inlineStr">
        <is>
          <t>P19</t>
        </is>
      </c>
      <c r="V3" s="1" t="inlineStr">
        <is>
          <t>P20</t>
        </is>
      </c>
      <c r="W3" s="1" t="inlineStr">
        <is>
          <t>P21</t>
        </is>
      </c>
      <c r="X3" s="1" t="inlineStr">
        <is>
          <t>P22</t>
        </is>
      </c>
      <c r="Y3" s="1" t="inlineStr">
        <is>
          <t>P23</t>
        </is>
      </c>
      <c r="Z3" s="1" t="inlineStr">
        <is>
          <t>P24</t>
        </is>
      </c>
      <c r="AA3" s="1" t="inlineStr">
        <is>
          <t>P25</t>
        </is>
      </c>
      <c r="AB3" s="1" t="inlineStr">
        <is>
          <t>P26</t>
        </is>
      </c>
      <c r="AC3" s="1" t="inlineStr">
        <is>
          <t>P27</t>
        </is>
      </c>
      <c r="AD3" s="1" t="inlineStr">
        <is>
          <t>P28</t>
        </is>
      </c>
      <c r="AE3" s="1" t="inlineStr">
        <is>
          <t>P29</t>
        </is>
      </c>
      <c r="AF3" s="1" t="inlineStr">
        <is>
          <t>P30</t>
        </is>
      </c>
      <c r="AG3" s="1" t="inlineStr">
        <is>
          <t>P31</t>
        </is>
      </c>
      <c r="AH3" s="1" t="inlineStr">
        <is>
          <t>P32</t>
        </is>
      </c>
      <c r="AI3" s="1" t="inlineStr">
        <is>
          <t>P33</t>
        </is>
      </c>
      <c r="AJ3" s="1" t="inlineStr">
        <is>
          <t>P34</t>
        </is>
      </c>
      <c r="AK3" s="1" t="inlineStr">
        <is>
          <t>P35</t>
        </is>
      </c>
      <c r="AL3" s="1" t="inlineStr">
        <is>
          <t>P36</t>
        </is>
      </c>
      <c r="AM3" s="1" t="inlineStr">
        <is>
          <t>P37</t>
        </is>
      </c>
      <c r="AN3" s="1" t="inlineStr">
        <is>
          <t>P38</t>
        </is>
      </c>
      <c r="AO3" s="1" t="inlineStr">
        <is>
          <t>P39</t>
        </is>
      </c>
      <c r="AP3" s="1" t="inlineStr">
        <is>
          <t>P40</t>
        </is>
      </c>
      <c r="AQ3" s="1" t="inlineStr">
        <is>
          <t>P41</t>
        </is>
      </c>
      <c r="AR3" s="1" t="inlineStr">
        <is>
          <t>P42</t>
        </is>
      </c>
      <c r="AS3" s="1" t="inlineStr">
        <is>
          <t>P43</t>
        </is>
      </c>
      <c r="AT3" s="1" t="inlineStr">
        <is>
          <t>P44</t>
        </is>
      </c>
      <c r="AU3" s="1" t="inlineStr">
        <is>
          <t>P45</t>
        </is>
      </c>
      <c r="AV3" s="1" t="inlineStr">
        <is>
          <t>P46</t>
        </is>
      </c>
      <c r="AW3" s="1" t="inlineStr">
        <is>
          <t>P47</t>
        </is>
      </c>
      <c r="AX3" s="1" t="inlineStr">
        <is>
          <t>P48</t>
        </is>
      </c>
      <c r="AY3" s="1" t="inlineStr">
        <is>
          <t>P49</t>
        </is>
      </c>
      <c r="AZ3" s="1" t="inlineStr">
        <is>
          <t>P50</t>
        </is>
      </c>
      <c r="BA3" s="1" t="inlineStr">
        <is>
          <t>P51</t>
        </is>
      </c>
      <c r="BB3" s="1" t="inlineStr">
        <is>
          <t>P52</t>
        </is>
      </c>
    </row>
    <row r="4">
      <c r="A4" t="inlineStr">
        <is>
          <t>Operating year</t>
        </is>
      </c>
      <c r="C4" t="inlineStr">
        <is>
          <t>-</t>
        </is>
      </c>
      <c r="D4" t="inlineStr">
        <is>
          <t>-</t>
        </is>
      </c>
      <c r="E4" t="n">
        <v>1</v>
      </c>
      <c r="F4" t="n">
        <v>1</v>
      </c>
      <c r="G4" t="n">
        <v>2</v>
      </c>
      <c r="H4" t="n">
        <v>2</v>
      </c>
      <c r="I4" t="n">
        <v>3</v>
      </c>
      <c r="J4" t="n">
        <v>3</v>
      </c>
      <c r="K4" t="n">
        <v>4</v>
      </c>
      <c r="L4" t="n">
        <v>4</v>
      </c>
      <c r="M4" t="n">
        <v>5</v>
      </c>
      <c r="N4" t="n">
        <v>5</v>
      </c>
      <c r="O4" t="n">
        <v>6</v>
      </c>
      <c r="P4" t="n">
        <v>6</v>
      </c>
      <c r="Q4" t="n">
        <v>7</v>
      </c>
      <c r="R4" t="n">
        <v>7</v>
      </c>
      <c r="S4" t="n">
        <v>8</v>
      </c>
      <c r="T4" t="n">
        <v>8</v>
      </c>
      <c r="U4" t="n">
        <v>9</v>
      </c>
      <c r="V4" t="n">
        <v>9</v>
      </c>
      <c r="W4" t="n">
        <v>10</v>
      </c>
      <c r="X4" t="n">
        <v>10</v>
      </c>
      <c r="Y4" t="n">
        <v>11</v>
      </c>
      <c r="Z4" t="n">
        <v>11</v>
      </c>
      <c r="AA4" t="n">
        <v>12</v>
      </c>
      <c r="AB4" t="n">
        <v>12</v>
      </c>
      <c r="AC4" t="n">
        <v>13</v>
      </c>
      <c r="AD4" t="n">
        <v>13</v>
      </c>
      <c r="AE4" t="n">
        <v>14</v>
      </c>
      <c r="AF4" t="n">
        <v>14</v>
      </c>
      <c r="AG4" t="n">
        <v>15</v>
      </c>
      <c r="AH4" t="n">
        <v>15</v>
      </c>
      <c r="AI4" t="n">
        <v>16</v>
      </c>
      <c r="AJ4" t="n">
        <v>16</v>
      </c>
      <c r="AK4" t="n">
        <v>17</v>
      </c>
      <c r="AL4" t="n">
        <v>17</v>
      </c>
      <c r="AM4" t="n">
        <v>18</v>
      </c>
      <c r="AN4" t="n">
        <v>18</v>
      </c>
      <c r="AO4" t="n">
        <v>19</v>
      </c>
      <c r="AP4" t="n">
        <v>19</v>
      </c>
      <c r="AQ4" t="n">
        <v>20</v>
      </c>
      <c r="AR4" t="n">
        <v>20</v>
      </c>
      <c r="AS4" t="n">
        <v>21</v>
      </c>
      <c r="AT4" t="n">
        <v>21</v>
      </c>
      <c r="AU4" t="n">
        <v>22</v>
      </c>
      <c r="AV4" t="n">
        <v>22</v>
      </c>
      <c r="AW4" t="n">
        <v>23</v>
      </c>
      <c r="AX4" t="n">
        <v>23</v>
      </c>
      <c r="AY4" t="n">
        <v>24</v>
      </c>
      <c r="AZ4" t="n">
        <v>24</v>
      </c>
      <c r="BA4" t="n">
        <v>25</v>
      </c>
      <c r="BB4" t="n">
        <v>25</v>
      </c>
    </row>
    <row r="6">
      <c r="A6" t="inlineStr">
        <is>
          <t>Generation (MWh)</t>
        </is>
      </c>
      <c r="C6" t="n">
        <v>0</v>
      </c>
      <c r="D6" t="n">
        <v>0</v>
      </c>
      <c r="E6">
        <f>'Inputs'!$C$11*'Inputs'!$C$12/2*'Inputs'!$C$14*(1-'Inputs'!$C$13)^(1-1)</f>
        <v>36753.75</v>
      </c>
      <c r="F6">
        <f>'Inputs'!$C$11*'Inputs'!$C$12/2*'Inputs'!$C$14*(1-'Inputs'!$C$13)^(1-1)</f>
        <v>36753.75</v>
      </c>
      <c r="G6">
        <f>'Inputs'!$C$11*'Inputs'!$C$12/2*'Inputs'!$C$14*(1-'Inputs'!$C$13)^(2-1)</f>
        <v>36606.735</v>
      </c>
      <c r="H6">
        <f>'Inputs'!$C$11*'Inputs'!$C$12/2*'Inputs'!$C$14*(1-'Inputs'!$C$13)^(2-1)</f>
        <v>36606.735</v>
      </c>
      <c r="I6">
        <f>'Inputs'!$C$11*'Inputs'!$C$12/2*'Inputs'!$C$14*(1-'Inputs'!$C$13)^(3-1)</f>
        <v>36460.30806</v>
      </c>
      <c r="J6">
        <f>'Inputs'!$C$11*'Inputs'!$C$12/2*'Inputs'!$C$14*(1-'Inputs'!$C$13)^(3-1)</f>
        <v>36460.30806</v>
      </c>
      <c r="K6">
        <f>'Inputs'!$C$11*'Inputs'!$C$12/2*'Inputs'!$C$14*(1-'Inputs'!$C$13)^(4-1)</f>
        <v>36314.46682776</v>
      </c>
      <c r="L6">
        <f>'Inputs'!$C$11*'Inputs'!$C$12/2*'Inputs'!$C$14*(1-'Inputs'!$C$13)^(4-1)</f>
        <v>36314.46682776</v>
      </c>
      <c r="M6">
        <f>'Inputs'!$C$11*'Inputs'!$C$12/2*'Inputs'!$C$14*(1-'Inputs'!$C$13)^(5-1)</f>
        <v>36169.20896044896</v>
      </c>
      <c r="N6">
        <f>'Inputs'!$C$11*'Inputs'!$C$12/2*'Inputs'!$C$14*(1-'Inputs'!$C$13)^(5-1)</f>
        <v>36169.20896044896</v>
      </c>
      <c r="O6">
        <f>'Inputs'!$C$11*'Inputs'!$C$12/2*'Inputs'!$C$14*(1-'Inputs'!$C$13)^(6-1)</f>
        <v>36024.53212460716</v>
      </c>
      <c r="P6">
        <f>'Inputs'!$C$11*'Inputs'!$C$12/2*'Inputs'!$C$14*(1-'Inputs'!$C$13)^(6-1)</f>
        <v>36024.53212460716</v>
      </c>
      <c r="Q6">
        <f>'Inputs'!$C$11*'Inputs'!$C$12/2*'Inputs'!$C$14*(1-'Inputs'!$C$13)^(7-1)</f>
        <v>35880.43399610874</v>
      </c>
      <c r="R6">
        <f>'Inputs'!$C$11*'Inputs'!$C$12/2*'Inputs'!$C$14*(1-'Inputs'!$C$13)^(7-1)</f>
        <v>35880.43399610874</v>
      </c>
      <c r="S6">
        <f>'Inputs'!$C$11*'Inputs'!$C$12/2*'Inputs'!$C$14*(1-'Inputs'!$C$13)^(8-1)</f>
        <v>35736.9122601243</v>
      </c>
      <c r="T6">
        <f>'Inputs'!$C$11*'Inputs'!$C$12/2*'Inputs'!$C$14*(1-'Inputs'!$C$13)^(8-1)</f>
        <v>35736.9122601243</v>
      </c>
      <c r="U6">
        <f>'Inputs'!$C$11*'Inputs'!$C$12/2*'Inputs'!$C$14*(1-'Inputs'!$C$13)^(9-1)</f>
        <v>35593.9646110838</v>
      </c>
      <c r="V6">
        <f>'Inputs'!$C$11*'Inputs'!$C$12/2*'Inputs'!$C$14*(1-'Inputs'!$C$13)^(9-1)</f>
        <v>35593.9646110838</v>
      </c>
      <c r="W6">
        <f>'Inputs'!$C$11*'Inputs'!$C$12/2*'Inputs'!$C$14*(1-'Inputs'!$C$13)^(10-1)</f>
        <v>35451.588752639465</v>
      </c>
      <c r="X6">
        <f>'Inputs'!$C$11*'Inputs'!$C$12/2*'Inputs'!$C$14*(1-'Inputs'!$C$13)^(10-1)</f>
        <v>35451.588752639465</v>
      </c>
      <c r="Y6">
        <f>'Inputs'!$C$11*'Inputs'!$C$12/2*'Inputs'!$C$14*(1-'Inputs'!$C$13)^(11-1)</f>
        <v>35309.78239762891</v>
      </c>
      <c r="Z6">
        <f>'Inputs'!$C$11*'Inputs'!$C$12/2*'Inputs'!$C$14*(1-'Inputs'!$C$13)^(11-1)</f>
        <v>35309.78239762891</v>
      </c>
      <c r="AA6">
        <f>'Inputs'!$C$11*'Inputs'!$C$12/2*'Inputs'!$C$14*(1-'Inputs'!$C$13)^(12-1)</f>
        <v>35168.54326803839</v>
      </c>
      <c r="AB6">
        <f>'Inputs'!$C$11*'Inputs'!$C$12/2*'Inputs'!$C$14*(1-'Inputs'!$C$13)^(12-1)</f>
        <v>35168.54326803839</v>
      </c>
      <c r="AC6">
        <f>'Inputs'!$C$11*'Inputs'!$C$12/2*'Inputs'!$C$14*(1-'Inputs'!$C$13)^(13-1)</f>
        <v>35027.86909496624</v>
      </c>
      <c r="AD6">
        <f>'Inputs'!$C$11*'Inputs'!$C$12/2*'Inputs'!$C$14*(1-'Inputs'!$C$13)^(13-1)</f>
        <v>35027.86909496624</v>
      </c>
      <c r="AE6">
        <f>'Inputs'!$C$11*'Inputs'!$C$12/2*'Inputs'!$C$14*(1-'Inputs'!$C$13)^(14-1)</f>
        <v>34887.75761858638</v>
      </c>
      <c r="AF6">
        <f>'Inputs'!$C$11*'Inputs'!$C$12/2*'Inputs'!$C$14*(1-'Inputs'!$C$13)^(14-1)</f>
        <v>34887.75761858638</v>
      </c>
      <c r="AG6">
        <f>'Inputs'!$C$11*'Inputs'!$C$12/2*'Inputs'!$C$14*(1-'Inputs'!$C$13)^(15-1)</f>
        <v>34748.20658811203</v>
      </c>
      <c r="AH6">
        <f>'Inputs'!$C$11*'Inputs'!$C$12/2*'Inputs'!$C$14*(1-'Inputs'!$C$13)^(15-1)</f>
        <v>34748.20658811203</v>
      </c>
      <c r="AI6">
        <f>'Inputs'!$C$11*'Inputs'!$C$12/2*'Inputs'!$C$14*(1-'Inputs'!$C$13)^(16-1)</f>
        <v>34609.21376175958</v>
      </c>
      <c r="AJ6">
        <f>'Inputs'!$C$11*'Inputs'!$C$12/2*'Inputs'!$C$14*(1-'Inputs'!$C$13)^(16-1)</f>
        <v>34609.21376175958</v>
      </c>
      <c r="AK6">
        <f>'Inputs'!$C$11*'Inputs'!$C$12/2*'Inputs'!$C$14*(1-'Inputs'!$C$13)^(17-1)</f>
        <v>34470.77690671254</v>
      </c>
      <c r="AL6">
        <f>'Inputs'!$C$11*'Inputs'!$C$12/2*'Inputs'!$C$14*(1-'Inputs'!$C$13)^(17-1)</f>
        <v>34470.77690671254</v>
      </c>
      <c r="AM6">
        <f>'Inputs'!$C$11*'Inputs'!$C$12/2*'Inputs'!$C$14*(1-'Inputs'!$C$13)^(18-1)</f>
        <v>34332.893799085694</v>
      </c>
      <c r="AN6">
        <f>'Inputs'!$C$11*'Inputs'!$C$12/2*'Inputs'!$C$14*(1-'Inputs'!$C$13)^(18-1)</f>
        <v>34332.893799085694</v>
      </c>
      <c r="AO6">
        <f>'Inputs'!$C$11*'Inputs'!$C$12/2*'Inputs'!$C$14*(1-'Inputs'!$C$13)^(19-1)</f>
        <v>34195.56222388935</v>
      </c>
      <c r="AP6">
        <f>'Inputs'!$C$11*'Inputs'!$C$12/2*'Inputs'!$C$14*(1-'Inputs'!$C$13)^(19-1)</f>
        <v>34195.56222388935</v>
      </c>
      <c r="AQ6">
        <f>'Inputs'!$C$11*'Inputs'!$C$12/2*'Inputs'!$C$14*(1-'Inputs'!$C$13)^(20-1)</f>
        <v>34058.77997499379</v>
      </c>
      <c r="AR6">
        <f>'Inputs'!$C$11*'Inputs'!$C$12/2*'Inputs'!$C$14*(1-'Inputs'!$C$13)^(20-1)</f>
        <v>34058.77997499379</v>
      </c>
      <c r="AS6">
        <f>'Inputs'!$C$11*'Inputs'!$C$12/2*'Inputs'!$C$14*(1-'Inputs'!$C$13)^(21-1)</f>
        <v>33922.544855093816</v>
      </c>
      <c r="AT6">
        <f>'Inputs'!$C$11*'Inputs'!$C$12/2*'Inputs'!$C$14*(1-'Inputs'!$C$13)^(21-1)</f>
        <v>33922.544855093816</v>
      </c>
      <c r="AU6">
        <f>'Inputs'!$C$11*'Inputs'!$C$12/2*'Inputs'!$C$14*(1-'Inputs'!$C$13)^(22-1)</f>
        <v>33786.85467567344</v>
      </c>
      <c r="AV6">
        <f>'Inputs'!$C$11*'Inputs'!$C$12/2*'Inputs'!$C$14*(1-'Inputs'!$C$13)^(22-1)</f>
        <v>33786.85467567344</v>
      </c>
      <c r="AW6">
        <f>'Inputs'!$C$11*'Inputs'!$C$12/2*'Inputs'!$C$14*(1-'Inputs'!$C$13)^(23-1)</f>
        <v>33651.707256970745</v>
      </c>
      <c r="AX6">
        <f>'Inputs'!$C$11*'Inputs'!$C$12/2*'Inputs'!$C$14*(1-'Inputs'!$C$13)^(23-1)</f>
        <v>33651.707256970745</v>
      </c>
      <c r="AY6">
        <f>'Inputs'!$C$11*'Inputs'!$C$12/2*'Inputs'!$C$14*(1-'Inputs'!$C$13)^(24-1)</f>
        <v>33517.10042794287</v>
      </c>
      <c r="AZ6">
        <f>'Inputs'!$C$11*'Inputs'!$C$12/2*'Inputs'!$C$14*(1-'Inputs'!$C$13)^(24-1)</f>
        <v>33517.10042794287</v>
      </c>
      <c r="BA6">
        <f>'Inputs'!$C$11*'Inputs'!$C$12/2*'Inputs'!$C$14*(1-'Inputs'!$C$13)^(25-1)</f>
        <v>33383.03202623109</v>
      </c>
      <c r="BB6">
        <f>'Inputs'!$C$11*'Inputs'!$C$12/2*'Inputs'!$C$14*(1-'Inputs'!$C$13)^(25-1)</f>
        <v>33383.03202623109</v>
      </c>
    </row>
    <row r="7">
      <c r="A7" t="inlineStr">
        <is>
          <t>PPA tariff this year (EUR/MWh)</t>
        </is>
      </c>
      <c r="C7" t="n">
        <v>0</v>
      </c>
      <c r="D7" t="n">
        <v>0</v>
      </c>
      <c r="E7">
        <f>'Inputs'!$C$15*(1+'Inputs'!$C$17)^(1-1)</f>
        <v>55.0</v>
      </c>
      <c r="F7">
        <f>'Inputs'!$C$15*(1+'Inputs'!$C$17)^(1-1)</f>
        <v>55.0</v>
      </c>
      <c r="G7">
        <f>'Inputs'!$C$15*(1+'Inputs'!$C$17)^(2-1)</f>
        <v>56.1</v>
      </c>
      <c r="H7">
        <f>'Inputs'!$C$15*(1+'Inputs'!$C$17)^(2-1)</f>
        <v>56.1</v>
      </c>
      <c r="I7">
        <f>'Inputs'!$C$15*(1+'Inputs'!$C$17)^(3-1)</f>
        <v>57.222</v>
      </c>
      <c r="J7">
        <f>'Inputs'!$C$15*(1+'Inputs'!$C$17)^(3-1)</f>
        <v>57.222</v>
      </c>
      <c r="K7">
        <f>'Inputs'!$C$15*(1+'Inputs'!$C$17)^(4-1)</f>
        <v>58.36644000000001</v>
      </c>
      <c r="L7">
        <f>'Inputs'!$C$15*(1+'Inputs'!$C$17)^(4-1)</f>
        <v>58.36644000000001</v>
      </c>
      <c r="M7">
        <f>'Inputs'!$C$15*(1+'Inputs'!$C$17)^(5-1)</f>
        <v>59.5337688</v>
      </c>
      <c r="N7">
        <f>'Inputs'!$C$15*(1+'Inputs'!$C$17)^(5-1)</f>
        <v>59.5337688</v>
      </c>
      <c r="O7">
        <f>'Inputs'!$C$15*(1+'Inputs'!$C$17)^(6-1)</f>
        <v>60.724444176</v>
      </c>
      <c r="P7">
        <f>'Inputs'!$C$15*(1+'Inputs'!$C$17)^(6-1)</f>
        <v>60.724444176</v>
      </c>
      <c r="Q7">
        <f>'Inputs'!$C$15*(1+'Inputs'!$C$17)^(7-1)</f>
        <v>61.938933059520004</v>
      </c>
      <c r="R7">
        <f>'Inputs'!$C$15*(1+'Inputs'!$C$17)^(7-1)</f>
        <v>61.938933059520004</v>
      </c>
      <c r="S7">
        <f>'Inputs'!$C$15*(1+'Inputs'!$C$17)^(8-1)</f>
        <v>63.177711720710406</v>
      </c>
      <c r="T7">
        <f>'Inputs'!$C$15*(1+'Inputs'!$C$17)^(8-1)</f>
        <v>63.177711720710406</v>
      </c>
      <c r="U7">
        <f>'Inputs'!$C$15*(1+'Inputs'!$C$17)^(9-1)</f>
        <v>64.44126595512462</v>
      </c>
      <c r="V7">
        <f>'Inputs'!$C$15*(1+'Inputs'!$C$17)^(9-1)</f>
        <v>64.44126595512462</v>
      </c>
      <c r="W7">
        <f>'Inputs'!$C$15*(1+'Inputs'!$C$17)^(10-1)</f>
        <v>65.7300912742271</v>
      </c>
      <c r="X7">
        <f>'Inputs'!$C$15*(1+'Inputs'!$C$17)^(10-1)</f>
        <v>65.7300912742271</v>
      </c>
      <c r="Y7">
        <f>'Inputs'!$C$15*(1+'Inputs'!$C$17)^(11-1)</f>
        <v>67.04469309971165</v>
      </c>
      <c r="Z7">
        <f>'Inputs'!$C$15*(1+'Inputs'!$C$17)^(11-1)</f>
        <v>67.04469309971165</v>
      </c>
      <c r="AA7">
        <f>'Inputs'!$C$15*(1+'Inputs'!$C$17)^(12-1)</f>
        <v>68.38558696170588</v>
      </c>
      <c r="AB7">
        <f>'Inputs'!$C$15*(1+'Inputs'!$C$17)^(12-1)</f>
        <v>68.38558696170588</v>
      </c>
      <c r="AC7">
        <f>'Inputs'!$C$15*(1+'Inputs'!$C$17)^(13-1)</f>
        <v>69.75329870094001</v>
      </c>
      <c r="AD7">
        <f>'Inputs'!$C$15*(1+'Inputs'!$C$17)^(13-1)</f>
        <v>69.75329870094001</v>
      </c>
      <c r="AE7">
        <f>'Inputs'!$C$15*(1+'Inputs'!$C$17)^(14-1)</f>
        <v>71.14836467495881</v>
      </c>
      <c r="AF7">
        <f>'Inputs'!$C$15*(1+'Inputs'!$C$17)^(14-1)</f>
        <v>71.14836467495881</v>
      </c>
      <c r="AG7">
        <f>'Inputs'!$C$15*(1+'Inputs'!$C$17)^(15-1)</f>
        <v>72.57133196845798</v>
      </c>
      <c r="AH7">
        <f>'Inputs'!$C$15*(1+'Inputs'!$C$17)^(15-1)</f>
        <v>72.57133196845798</v>
      </c>
      <c r="AI7">
        <f>'Inputs'!$C$15*(1+'Inputs'!$C$17)^(16-1)</f>
        <v>74.02275860782714</v>
      </c>
      <c r="AJ7">
        <f>'Inputs'!$C$15*(1+'Inputs'!$C$17)^(16-1)</f>
        <v>74.02275860782714</v>
      </c>
      <c r="AK7">
        <f>'Inputs'!$C$15*(1+'Inputs'!$C$17)^(17-1)</f>
        <v>75.50321377998368</v>
      </c>
      <c r="AL7">
        <f>'Inputs'!$C$15*(1+'Inputs'!$C$17)^(17-1)</f>
        <v>75.50321377998368</v>
      </c>
      <c r="AM7">
        <f>'Inputs'!$C$15*(1+'Inputs'!$C$17)^(18-1)</f>
        <v>77.01327805558337</v>
      </c>
      <c r="AN7">
        <f>'Inputs'!$C$15*(1+'Inputs'!$C$17)^(18-1)</f>
        <v>77.01327805558337</v>
      </c>
      <c r="AO7">
        <f>'Inputs'!$C$15*(1+'Inputs'!$C$17)^(19-1)</f>
        <v>78.55354361669504</v>
      </c>
      <c r="AP7">
        <f>'Inputs'!$C$15*(1+'Inputs'!$C$17)^(19-1)</f>
        <v>78.55354361669504</v>
      </c>
      <c r="AQ7">
        <f>'Inputs'!$C$15*(1+'Inputs'!$C$17)^(20-1)</f>
        <v>80.12461448902893</v>
      </c>
      <c r="AR7">
        <f>'Inputs'!$C$15*(1+'Inputs'!$C$17)^(20-1)</f>
        <v>80.12461448902893</v>
      </c>
      <c r="AS7">
        <f>'Inputs'!$C$15*(1+'Inputs'!$C$17)^(21-1)</f>
        <v>81.72710677880951</v>
      </c>
      <c r="AT7">
        <f>'Inputs'!$C$15*(1+'Inputs'!$C$17)^(21-1)</f>
        <v>81.72710677880951</v>
      </c>
      <c r="AU7">
        <f>'Inputs'!$C$15*(1+'Inputs'!$C$17)^(22-1)</f>
        <v>83.3616489143857</v>
      </c>
      <c r="AV7">
        <f>'Inputs'!$C$15*(1+'Inputs'!$C$17)^(22-1)</f>
        <v>83.3616489143857</v>
      </c>
      <c r="AW7">
        <f>'Inputs'!$C$15*(1+'Inputs'!$C$17)^(23-1)</f>
        <v>85.02888189267343</v>
      </c>
      <c r="AX7">
        <f>'Inputs'!$C$15*(1+'Inputs'!$C$17)^(23-1)</f>
        <v>85.02888189267343</v>
      </c>
      <c r="AY7">
        <f>'Inputs'!$C$15*(1+'Inputs'!$C$17)^(24-1)</f>
        <v>86.7294595305269</v>
      </c>
      <c r="AZ7">
        <f>'Inputs'!$C$15*(1+'Inputs'!$C$17)^(24-1)</f>
        <v>86.7294595305269</v>
      </c>
      <c r="BA7">
        <f>'Inputs'!$C$15*(1+'Inputs'!$C$17)^(25-1)</f>
        <v>88.46404872113744</v>
      </c>
      <c r="BB7">
        <f>'Inputs'!$C$15*(1+'Inputs'!$C$17)^(25-1)</f>
        <v>88.46404872113744</v>
      </c>
    </row>
    <row r="8">
      <c r="A8" t="inlineStr">
        <is>
          <t>Market price this year (EUR/MWh)</t>
        </is>
      </c>
      <c r="C8" t="n">
        <v>0</v>
      </c>
      <c r="D8" t="n">
        <v>0</v>
      </c>
      <c r="E8">
        <f>'Inputs'!$C$18</f>
        <v>60.0</v>
      </c>
      <c r="F8">
        <f>'Inputs'!$C$18</f>
        <v>60.0</v>
      </c>
      <c r="G8">
        <f>'Inputs'!$C$19</f>
        <v>61.0</v>
      </c>
      <c r="H8">
        <f>'Inputs'!$C$19</f>
        <v>61.0</v>
      </c>
      <c r="I8">
        <f>'Inputs'!$C$19*(1+'Inputs'!$C$20)^(3-2)</f>
        <v>62.22</v>
      </c>
      <c r="J8">
        <f>'Inputs'!$C$19*(1+'Inputs'!$C$20)^(3-2)</f>
        <v>62.22</v>
      </c>
      <c r="K8">
        <f>'Inputs'!$C$19*(1+'Inputs'!$C$20)^(4-2)</f>
        <v>63.4644</v>
      </c>
      <c r="L8">
        <f>'Inputs'!$C$19*(1+'Inputs'!$C$20)^(4-2)</f>
        <v>63.4644</v>
      </c>
      <c r="M8">
        <f>'Inputs'!$C$19*(1+'Inputs'!$C$20)^(5-2)</f>
        <v>64.73368800000001</v>
      </c>
      <c r="N8">
        <f>'Inputs'!$C$19*(1+'Inputs'!$C$20)^(5-2)</f>
        <v>64.73368800000001</v>
      </c>
      <c r="O8">
        <f>'Inputs'!$C$19*(1+'Inputs'!$C$20)^(6-2)</f>
        <v>66.02836176</v>
      </c>
      <c r="P8">
        <f>'Inputs'!$C$19*(1+'Inputs'!$C$20)^(6-2)</f>
        <v>66.02836176</v>
      </c>
      <c r="Q8">
        <f>'Inputs'!$C$19*(1+'Inputs'!$C$20)^(7-2)</f>
        <v>67.3489289952</v>
      </c>
      <c r="R8">
        <f>'Inputs'!$C$19*(1+'Inputs'!$C$20)^(7-2)</f>
        <v>67.3489289952</v>
      </c>
      <c r="S8">
        <f>'Inputs'!$C$19*(1+'Inputs'!$C$20)^(8-2)</f>
        <v>68.695907575104</v>
      </c>
      <c r="T8">
        <f>'Inputs'!$C$19*(1+'Inputs'!$C$20)^(8-2)</f>
        <v>68.695907575104</v>
      </c>
      <c r="U8">
        <f>'Inputs'!$C$19*(1+'Inputs'!$C$20)^(9-2)</f>
        <v>70.06982572660608</v>
      </c>
      <c r="V8">
        <f>'Inputs'!$C$19*(1+'Inputs'!$C$20)^(9-2)</f>
        <v>70.06982572660608</v>
      </c>
      <c r="W8">
        <f>'Inputs'!$C$19*(1+'Inputs'!$C$20)^(10-2)</f>
        <v>71.47122224113821</v>
      </c>
      <c r="X8">
        <f>'Inputs'!$C$19*(1+'Inputs'!$C$20)^(10-2)</f>
        <v>71.47122224113821</v>
      </c>
      <c r="Y8">
        <f>'Inputs'!$C$19*(1+'Inputs'!$C$20)^(11-2)</f>
        <v>72.90064668596098</v>
      </c>
      <c r="Z8">
        <f>'Inputs'!$C$19*(1+'Inputs'!$C$20)^(11-2)</f>
        <v>72.90064668596098</v>
      </c>
      <c r="AA8">
        <f>'Inputs'!$C$19*(1+'Inputs'!$C$20)^(12-2)</f>
        <v>74.3586596196802</v>
      </c>
      <c r="AB8">
        <f>'Inputs'!$C$19*(1+'Inputs'!$C$20)^(12-2)</f>
        <v>74.3586596196802</v>
      </c>
      <c r="AC8">
        <f>'Inputs'!$C$19*(1+'Inputs'!$C$20)^(13-2)</f>
        <v>75.8458328120738</v>
      </c>
      <c r="AD8">
        <f>'Inputs'!$C$19*(1+'Inputs'!$C$20)^(13-2)</f>
        <v>75.8458328120738</v>
      </c>
      <c r="AE8">
        <f>'Inputs'!$C$19*(1+'Inputs'!$C$20)^(14-2)</f>
        <v>77.36274946831527</v>
      </c>
      <c r="AF8">
        <f>'Inputs'!$C$19*(1+'Inputs'!$C$20)^(14-2)</f>
        <v>77.36274946831527</v>
      </c>
      <c r="AG8">
        <f>'Inputs'!$C$19*(1+'Inputs'!$C$20)^(15-2)</f>
        <v>78.9100044576816</v>
      </c>
      <c r="AH8">
        <f>'Inputs'!$C$19*(1+'Inputs'!$C$20)^(15-2)</f>
        <v>78.9100044576816</v>
      </c>
      <c r="AI8">
        <f>'Inputs'!$C$19*(1+'Inputs'!$C$20)^(16-2)</f>
        <v>80.48820454683522</v>
      </c>
      <c r="AJ8">
        <f>'Inputs'!$C$19*(1+'Inputs'!$C$20)^(16-2)</f>
        <v>80.48820454683522</v>
      </c>
      <c r="AK8">
        <f>'Inputs'!$C$19*(1+'Inputs'!$C$20)^(17-2)</f>
        <v>82.09796863777193</v>
      </c>
      <c r="AL8">
        <f>'Inputs'!$C$19*(1+'Inputs'!$C$20)^(17-2)</f>
        <v>82.09796863777193</v>
      </c>
      <c r="AM8">
        <f>'Inputs'!$C$19*(1+'Inputs'!$C$20)^(18-2)</f>
        <v>83.73992801052736</v>
      </c>
      <c r="AN8">
        <f>'Inputs'!$C$19*(1+'Inputs'!$C$20)^(18-2)</f>
        <v>83.73992801052736</v>
      </c>
      <c r="AO8">
        <f>'Inputs'!$C$19*(1+'Inputs'!$C$20)^(19-2)</f>
        <v>85.41472657073791</v>
      </c>
      <c r="AP8">
        <f>'Inputs'!$C$19*(1+'Inputs'!$C$20)^(19-2)</f>
        <v>85.41472657073791</v>
      </c>
      <c r="AQ8">
        <f>'Inputs'!$C$19*(1+'Inputs'!$C$20)^(20-2)</f>
        <v>87.12302110215268</v>
      </c>
      <c r="AR8">
        <f>'Inputs'!$C$19*(1+'Inputs'!$C$20)^(20-2)</f>
        <v>87.12302110215268</v>
      </c>
      <c r="AS8">
        <f>'Inputs'!$C$19*(1+'Inputs'!$C$20)^(21-2)</f>
        <v>88.86548152419573</v>
      </c>
      <c r="AT8">
        <f>'Inputs'!$C$19*(1+'Inputs'!$C$20)^(21-2)</f>
        <v>88.86548152419573</v>
      </c>
      <c r="AU8">
        <f>'Inputs'!$C$19*(1+'Inputs'!$C$20)^(22-2)</f>
        <v>90.64279115467964</v>
      </c>
      <c r="AV8">
        <f>'Inputs'!$C$19*(1+'Inputs'!$C$20)^(22-2)</f>
        <v>90.64279115467964</v>
      </c>
      <c r="AW8">
        <f>'Inputs'!$C$19*(1+'Inputs'!$C$20)^(23-2)</f>
        <v>92.45564697777323</v>
      </c>
      <c r="AX8">
        <f>'Inputs'!$C$19*(1+'Inputs'!$C$20)^(23-2)</f>
        <v>92.45564697777323</v>
      </c>
      <c r="AY8">
        <f>'Inputs'!$C$19*(1+'Inputs'!$C$20)^(24-2)</f>
        <v>94.30475991732871</v>
      </c>
      <c r="AZ8">
        <f>'Inputs'!$C$19*(1+'Inputs'!$C$20)^(24-2)</f>
        <v>94.30475991732871</v>
      </c>
      <c r="BA8">
        <f>'Inputs'!$C$19*(1+'Inputs'!$C$20)^(25-2)</f>
        <v>96.19085511567529</v>
      </c>
      <c r="BB8">
        <f>'Inputs'!$C$19*(1+'Inputs'!$C$20)^(25-2)</f>
        <v>96.19085511567529</v>
      </c>
    </row>
    <row r="9">
      <c r="A9" t="inlineStr">
        <is>
          <t>PPA active? (1/0)</t>
        </is>
      </c>
      <c r="C9" t="n">
        <v>0</v>
      </c>
      <c r="D9" t="n">
        <v>0</v>
      </c>
      <c r="E9">
        <f>IF(1&lt;='Inputs'!$C$16,1,0)</f>
        <v>1.0</v>
      </c>
      <c r="F9">
        <f>IF(1&lt;='Inputs'!$C$16,1,0)</f>
        <v>1.0</v>
      </c>
      <c r="G9">
        <f>IF(2&lt;='Inputs'!$C$16,1,0)</f>
        <v>1.0</v>
      </c>
      <c r="H9">
        <f>IF(2&lt;='Inputs'!$C$16,1,0)</f>
        <v>1.0</v>
      </c>
      <c r="I9">
        <f>IF(3&lt;='Inputs'!$C$16,1,0)</f>
        <v>1.0</v>
      </c>
      <c r="J9">
        <f>IF(3&lt;='Inputs'!$C$16,1,0)</f>
        <v>1.0</v>
      </c>
      <c r="K9">
        <f>IF(4&lt;='Inputs'!$C$16,1,0)</f>
        <v>1.0</v>
      </c>
      <c r="L9">
        <f>IF(4&lt;='Inputs'!$C$16,1,0)</f>
        <v>1.0</v>
      </c>
      <c r="M9">
        <f>IF(5&lt;='Inputs'!$C$16,1,0)</f>
        <v>1.0</v>
      </c>
      <c r="N9">
        <f>IF(5&lt;='Inputs'!$C$16,1,0)</f>
        <v>1.0</v>
      </c>
      <c r="O9">
        <f>IF(6&lt;='Inputs'!$C$16,1,0)</f>
        <v>1.0</v>
      </c>
      <c r="P9">
        <f>IF(6&lt;='Inputs'!$C$16,1,0)</f>
        <v>1.0</v>
      </c>
      <c r="Q9">
        <f>IF(7&lt;='Inputs'!$C$16,1,0)</f>
        <v>1.0</v>
      </c>
      <c r="R9">
        <f>IF(7&lt;='Inputs'!$C$16,1,0)</f>
        <v>1.0</v>
      </c>
      <c r="S9">
        <f>IF(8&lt;='Inputs'!$C$16,1,0)</f>
        <v>1.0</v>
      </c>
      <c r="T9">
        <f>IF(8&lt;='Inputs'!$C$16,1,0)</f>
        <v>1.0</v>
      </c>
      <c r="U9">
        <f>IF(9&lt;='Inputs'!$C$16,1,0)</f>
        <v>1.0</v>
      </c>
      <c r="V9">
        <f>IF(9&lt;='Inputs'!$C$16,1,0)</f>
        <v>1.0</v>
      </c>
      <c r="W9">
        <f>IF(10&lt;='Inputs'!$C$16,1,0)</f>
        <v>1.0</v>
      </c>
      <c r="X9">
        <f>IF(10&lt;='Inputs'!$C$16,1,0)</f>
        <v>1.0</v>
      </c>
      <c r="Y9">
        <f>IF(11&lt;='Inputs'!$C$16,1,0)</f>
        <v>0.0</v>
      </c>
      <c r="Z9">
        <f>IF(11&lt;='Inputs'!$C$16,1,0)</f>
        <v>0.0</v>
      </c>
      <c r="AA9">
        <f>IF(12&lt;='Inputs'!$C$16,1,0)</f>
        <v>0.0</v>
      </c>
      <c r="AB9">
        <f>IF(12&lt;='Inputs'!$C$16,1,0)</f>
        <v>0.0</v>
      </c>
      <c r="AC9">
        <f>IF(13&lt;='Inputs'!$C$16,1,0)</f>
        <v>0.0</v>
      </c>
      <c r="AD9">
        <f>IF(13&lt;='Inputs'!$C$16,1,0)</f>
        <v>0.0</v>
      </c>
      <c r="AE9">
        <f>IF(14&lt;='Inputs'!$C$16,1,0)</f>
        <v>0.0</v>
      </c>
      <c r="AF9">
        <f>IF(14&lt;='Inputs'!$C$16,1,0)</f>
        <v>0.0</v>
      </c>
      <c r="AG9">
        <f>IF(15&lt;='Inputs'!$C$16,1,0)</f>
        <v>0.0</v>
      </c>
      <c r="AH9">
        <f>IF(15&lt;='Inputs'!$C$16,1,0)</f>
        <v>0.0</v>
      </c>
      <c r="AI9">
        <f>IF(16&lt;='Inputs'!$C$16,1,0)</f>
        <v>0.0</v>
      </c>
      <c r="AJ9">
        <f>IF(16&lt;='Inputs'!$C$16,1,0)</f>
        <v>0.0</v>
      </c>
      <c r="AK9">
        <f>IF(17&lt;='Inputs'!$C$16,1,0)</f>
        <v>0.0</v>
      </c>
      <c r="AL9">
        <f>IF(17&lt;='Inputs'!$C$16,1,0)</f>
        <v>0.0</v>
      </c>
      <c r="AM9">
        <f>IF(18&lt;='Inputs'!$C$16,1,0)</f>
        <v>0.0</v>
      </c>
      <c r="AN9">
        <f>IF(18&lt;='Inputs'!$C$16,1,0)</f>
        <v>0.0</v>
      </c>
      <c r="AO9">
        <f>IF(19&lt;='Inputs'!$C$16,1,0)</f>
        <v>0.0</v>
      </c>
      <c r="AP9">
        <f>IF(19&lt;='Inputs'!$C$16,1,0)</f>
        <v>0.0</v>
      </c>
      <c r="AQ9">
        <f>IF(20&lt;='Inputs'!$C$16,1,0)</f>
        <v>0.0</v>
      </c>
      <c r="AR9">
        <f>IF(20&lt;='Inputs'!$C$16,1,0)</f>
        <v>0.0</v>
      </c>
      <c r="AS9">
        <f>IF(21&lt;='Inputs'!$C$16,1,0)</f>
        <v>0.0</v>
      </c>
      <c r="AT9">
        <f>IF(21&lt;='Inputs'!$C$16,1,0)</f>
        <v>0.0</v>
      </c>
      <c r="AU9">
        <f>IF(22&lt;='Inputs'!$C$16,1,0)</f>
        <v>0.0</v>
      </c>
      <c r="AV9">
        <f>IF(22&lt;='Inputs'!$C$16,1,0)</f>
        <v>0.0</v>
      </c>
      <c r="AW9">
        <f>IF(23&lt;='Inputs'!$C$16,1,0)</f>
        <v>0.0</v>
      </c>
      <c r="AX9">
        <f>IF(23&lt;='Inputs'!$C$16,1,0)</f>
        <v>0.0</v>
      </c>
      <c r="AY9">
        <f>IF(24&lt;='Inputs'!$C$16,1,0)</f>
        <v>0.0</v>
      </c>
      <c r="AZ9">
        <f>IF(24&lt;='Inputs'!$C$16,1,0)</f>
        <v>0.0</v>
      </c>
      <c r="BA9">
        <f>IF(25&lt;='Inputs'!$C$16,1,0)</f>
        <v>0.0</v>
      </c>
      <c r="BB9">
        <f>IF(25&lt;='Inputs'!$C$16,1,0)</f>
        <v>0.0</v>
      </c>
    </row>
    <row r="10">
      <c r="A10" t="inlineStr">
        <is>
          <t>Energy revenue (PPA or merchant, kEUR)</t>
        </is>
      </c>
      <c r="C10">
        <f>C6*IF(C9=1,C7,C8)/1000</f>
        <v>0.0</v>
      </c>
      <c r="D10">
        <f>D6*IF(D9=1,D7,D8)/1000</f>
        <v>0.0</v>
      </c>
      <c r="E10">
        <f>E6*IF(E9=1,E7,E8)/1000</f>
        <v>2021.45625</v>
      </c>
      <c r="F10">
        <f>F6*IF(F9=1,F7,F8)/1000</f>
        <v>2021.45625</v>
      </c>
      <c r="G10">
        <f>G6*IF(G9=1,G7,G8)/1000</f>
        <v>2053.6378335000004</v>
      </c>
      <c r="H10">
        <f>H6*IF(H9=1,H7,H8)/1000</f>
        <v>2053.6378335000004</v>
      </c>
      <c r="I10">
        <f>I6*IF(I9=1,I7,I8)/1000</f>
        <v>2086.3317478093204</v>
      </c>
      <c r="J10">
        <f>J6*IF(J9=1,J7,J8)/1000</f>
        <v>2086.3317478093204</v>
      </c>
      <c r="K10">
        <f>K6*IF(K9=1,K7,K8)/1000</f>
        <v>2119.546149234445</v>
      </c>
      <c r="L10">
        <f>L6*IF(L9=1,L7,L8)/1000</f>
        <v>2119.546149234445</v>
      </c>
      <c r="M10">
        <f>M6*IF(M9=1,M7,M8)/1000</f>
        <v>2153.2893239302566</v>
      </c>
      <c r="N10">
        <f>N6*IF(N9=1,N7,N8)/1000</f>
        <v>2153.2893239302566</v>
      </c>
      <c r="O10">
        <f>O6*IF(O9=1,O7,O8)/1000</f>
        <v>2187.569689967226</v>
      </c>
      <c r="P10">
        <f>P6*IF(P9=1,P7,P8)/1000</f>
        <v>2187.569689967226</v>
      </c>
      <c r="Q10">
        <f>Q6*IF(Q9=1,Q7,Q8)/1000</f>
        <v>2222.395799431505</v>
      </c>
      <c r="R10">
        <f>R6*IF(R9=1,R7,R8)/1000</f>
        <v>2222.395799431505</v>
      </c>
      <c r="S10">
        <f>S6*IF(S9=1,S7,S8)/1000</f>
        <v>2257.776340558454</v>
      </c>
      <c r="T10">
        <f>T6*IF(T9=1,T7,T8)/1000</f>
        <v>2257.776340558454</v>
      </c>
      <c r="U10">
        <f>U6*IF(U9=1,U7,U8)/1000</f>
        <v>2293.720139900145</v>
      </c>
      <c r="V10">
        <f>V6*IF(V9=1,V7,V8)/1000</f>
        <v>2293.720139900145</v>
      </c>
      <c r="W10">
        <f>W6*IF(W9=1,W7,W8)/1000</f>
        <v>2330.2361645273554</v>
      </c>
      <c r="X10">
        <f>X6*IF(X9=1,X7,X8)/1000</f>
        <v>2330.2361645273554</v>
      </c>
      <c r="Y10">
        <f>Y6*IF(Y9=1,Y7,Y8)/1000</f>
        <v>2574.105971127709</v>
      </c>
      <c r="Z10">
        <f>Z6*IF(Z9=1,Z7,Z8)/1000</f>
        <v>2574.105971127709</v>
      </c>
      <c r="AA10">
        <f>AA6*IF(AA9=1,AA7,AA8)/1000</f>
        <v>2615.085738188062</v>
      </c>
      <c r="AB10">
        <f>AB6*IF(AB9=1,AB7,AB8)/1000</f>
        <v>2615.085738188062</v>
      </c>
      <c r="AC10">
        <f>AC6*IF(AC9=1,AC7,AC8)/1000</f>
        <v>2656.7179031400165</v>
      </c>
      <c r="AD10">
        <f>AD6*IF(AD9=1,AD7,AD8)/1000</f>
        <v>2656.7179031400165</v>
      </c>
      <c r="AE10">
        <f>AE6*IF(AE9=1,AE7,AE8)/1000</f>
        <v>2699.0128521580054</v>
      </c>
      <c r="AF10">
        <f>AF6*IF(AF9=1,AF7,AF8)/1000</f>
        <v>2699.0128521580054</v>
      </c>
      <c r="AG10">
        <f>AG6*IF(AG9=1,AG7,AG8)/1000</f>
        <v>2741.981136764361</v>
      </c>
      <c r="AH10">
        <f>AH6*IF(AH9=1,AH7,AH8)/1000</f>
        <v>2741.981136764361</v>
      </c>
      <c r="AI10">
        <f>AI6*IF(AI9=1,AI7,AI8)/1000</f>
        <v>2785.6334764616495</v>
      </c>
      <c r="AJ10">
        <f>AJ6*IF(AJ9=1,AJ7,AJ8)/1000</f>
        <v>2785.6334764616495</v>
      </c>
      <c r="AK10">
        <f>AK6*IF(AK9=1,AK7,AK8)/1000</f>
        <v>2829.980761406919</v>
      </c>
      <c r="AL10">
        <f>AL6*IF(AL9=1,AL7,AL8)/1000</f>
        <v>2829.980761406919</v>
      </c>
      <c r="AM10">
        <f>AM6*IF(AM9=1,AM7,AM8)/1000</f>
        <v>2875.0340551285176</v>
      </c>
      <c r="AN10">
        <f>AN6*IF(AN9=1,AN7,AN8)/1000</f>
        <v>2875.0340551285176</v>
      </c>
      <c r="AO10">
        <f>AO6*IF(AO9=1,AO7,AO8)/1000</f>
        <v>2920.804597286163</v>
      </c>
      <c r="AP10">
        <f>AP6*IF(AP9=1,AP7,AP8)/1000</f>
        <v>2920.804597286163</v>
      </c>
      <c r="AQ10">
        <f>AQ6*IF(AQ9=1,AQ7,AQ8)/1000</f>
        <v>2967.303806474959</v>
      </c>
      <c r="AR10">
        <f>AR6*IF(AR9=1,AR7,AR8)/1000</f>
        <v>2967.303806474959</v>
      </c>
      <c r="AS10">
        <f>AS6*IF(AS9=1,AS7,AS8)/1000</f>
        <v>3014.5432830740406</v>
      </c>
      <c r="AT10">
        <f>AT6*IF(AT9=1,AT7,AT8)/1000</f>
        <v>3014.5432830740406</v>
      </c>
      <c r="AU10">
        <f>AU6*IF(AU9=1,AU7,AU8)/1000</f>
        <v>3062.5348121405796</v>
      </c>
      <c r="AV10">
        <f>AV6*IF(AV9=1,AV7,AV8)/1000</f>
        <v>3062.5348121405796</v>
      </c>
      <c r="AW10">
        <f>AW6*IF(AW9=1,AW7,AW8)/1000</f>
        <v>3111.290366349857</v>
      </c>
      <c r="AX10">
        <f>AX6*IF(AX9=1,AX7,AX8)/1000</f>
        <v>3111.290366349857</v>
      </c>
      <c r="AY10">
        <f>AY6*IF(AY9=1,AY7,AY8)/1000</f>
        <v>3160.8221089821477</v>
      </c>
      <c r="AZ10">
        <f>AZ6*IF(AZ9=1,AZ7,AZ8)/1000</f>
        <v>3160.8221089821477</v>
      </c>
      <c r="BA10">
        <f>BA6*IF(BA9=1,BA7,BA8)/1000</f>
        <v>3211.1423969571433</v>
      </c>
      <c r="BB10">
        <f>BB6*IF(BB9=1,BB7,BB8)/1000</f>
        <v>3211.1423969571433</v>
      </c>
    </row>
    <row r="11">
      <c r="A11" t="inlineStr">
        <is>
          <t>Balancing cost (kEUR)</t>
        </is>
      </c>
      <c r="C11">
        <f>-C6*'Inputs'!$C$21/1000</f>
        <v>-0.0</v>
      </c>
      <c r="D11">
        <f>-D6*'Inputs'!$C$21/1000</f>
        <v>-0.0</v>
      </c>
      <c r="E11">
        <f>-E6*'Inputs'!$C$21/1000</f>
        <v>-0.0</v>
      </c>
      <c r="F11">
        <f>-F6*'Inputs'!$C$21/1000</f>
        <v>-0.0</v>
      </c>
      <c r="G11">
        <f>-G6*'Inputs'!$C$21/1000</f>
        <v>-0.0</v>
      </c>
      <c r="H11">
        <f>-H6*'Inputs'!$C$21/1000</f>
        <v>-0.0</v>
      </c>
      <c r="I11">
        <f>-I6*'Inputs'!$C$21/1000</f>
        <v>-0.0</v>
      </c>
      <c r="J11">
        <f>-J6*'Inputs'!$C$21/1000</f>
        <v>-0.0</v>
      </c>
      <c r="K11">
        <f>-K6*'Inputs'!$C$21/1000</f>
        <v>-0.0</v>
      </c>
      <c r="L11">
        <f>-L6*'Inputs'!$C$21/1000</f>
        <v>-0.0</v>
      </c>
      <c r="M11">
        <f>-M6*'Inputs'!$C$21/1000</f>
        <v>-0.0</v>
      </c>
      <c r="N11">
        <f>-N6*'Inputs'!$C$21/1000</f>
        <v>-0.0</v>
      </c>
      <c r="O11">
        <f>-O6*'Inputs'!$C$21/1000</f>
        <v>-0.0</v>
      </c>
      <c r="P11">
        <f>-P6*'Inputs'!$C$21/1000</f>
        <v>-0.0</v>
      </c>
      <c r="Q11">
        <f>-Q6*'Inputs'!$C$21/1000</f>
        <v>-0.0</v>
      </c>
      <c r="R11">
        <f>-R6*'Inputs'!$C$21/1000</f>
        <v>-0.0</v>
      </c>
      <c r="S11">
        <f>-S6*'Inputs'!$C$21/1000</f>
        <v>-0.0</v>
      </c>
      <c r="T11">
        <f>-T6*'Inputs'!$C$21/1000</f>
        <v>-0.0</v>
      </c>
      <c r="U11">
        <f>-U6*'Inputs'!$C$21/1000</f>
        <v>-0.0</v>
      </c>
      <c r="V11">
        <f>-V6*'Inputs'!$C$21/1000</f>
        <v>-0.0</v>
      </c>
      <c r="W11">
        <f>-W6*'Inputs'!$C$21/1000</f>
        <v>-0.0</v>
      </c>
      <c r="X11">
        <f>-X6*'Inputs'!$C$21/1000</f>
        <v>-0.0</v>
      </c>
      <c r="Y11">
        <f>-Y6*'Inputs'!$C$21/1000</f>
        <v>-0.0</v>
      </c>
      <c r="Z11">
        <f>-Z6*'Inputs'!$C$21/1000</f>
        <v>-0.0</v>
      </c>
      <c r="AA11">
        <f>-AA6*'Inputs'!$C$21/1000</f>
        <v>-0.0</v>
      </c>
      <c r="AB11">
        <f>-AB6*'Inputs'!$C$21/1000</f>
        <v>-0.0</v>
      </c>
      <c r="AC11">
        <f>-AC6*'Inputs'!$C$21/1000</f>
        <v>-0.0</v>
      </c>
      <c r="AD11">
        <f>-AD6*'Inputs'!$C$21/1000</f>
        <v>-0.0</v>
      </c>
      <c r="AE11">
        <f>-AE6*'Inputs'!$C$21/1000</f>
        <v>-0.0</v>
      </c>
      <c r="AF11">
        <f>-AF6*'Inputs'!$C$21/1000</f>
        <v>-0.0</v>
      </c>
      <c r="AG11">
        <f>-AG6*'Inputs'!$C$21/1000</f>
        <v>-0.0</v>
      </c>
      <c r="AH11">
        <f>-AH6*'Inputs'!$C$21/1000</f>
        <v>-0.0</v>
      </c>
      <c r="AI11">
        <f>-AI6*'Inputs'!$C$21/1000</f>
        <v>-0.0</v>
      </c>
      <c r="AJ11">
        <f>-AJ6*'Inputs'!$C$21/1000</f>
        <v>-0.0</v>
      </c>
      <c r="AK11">
        <f>-AK6*'Inputs'!$C$21/1000</f>
        <v>-0.0</v>
      </c>
      <c r="AL11">
        <f>-AL6*'Inputs'!$C$21/1000</f>
        <v>-0.0</v>
      </c>
      <c r="AM11">
        <f>-AM6*'Inputs'!$C$21/1000</f>
        <v>-0.0</v>
      </c>
      <c r="AN11">
        <f>-AN6*'Inputs'!$C$21/1000</f>
        <v>-0.0</v>
      </c>
      <c r="AO11">
        <f>-AO6*'Inputs'!$C$21/1000</f>
        <v>-0.0</v>
      </c>
      <c r="AP11">
        <f>-AP6*'Inputs'!$C$21/1000</f>
        <v>-0.0</v>
      </c>
      <c r="AQ11">
        <f>-AQ6*'Inputs'!$C$21/1000</f>
        <v>-0.0</v>
      </c>
      <c r="AR11">
        <f>-AR6*'Inputs'!$C$21/1000</f>
        <v>-0.0</v>
      </c>
      <c r="AS11">
        <f>-AS6*'Inputs'!$C$21/1000</f>
        <v>-0.0</v>
      </c>
      <c r="AT11">
        <f>-AT6*'Inputs'!$C$21/1000</f>
        <v>-0.0</v>
      </c>
      <c r="AU11">
        <f>-AU6*'Inputs'!$C$21/1000</f>
        <v>-0.0</v>
      </c>
      <c r="AV11">
        <f>-AV6*'Inputs'!$C$21/1000</f>
        <v>-0.0</v>
      </c>
      <c r="AW11">
        <f>-AW6*'Inputs'!$C$21/1000</f>
        <v>-0.0</v>
      </c>
      <c r="AX11">
        <f>-AX6*'Inputs'!$C$21/1000</f>
        <v>-0.0</v>
      </c>
      <c r="AY11">
        <f>-AY6*'Inputs'!$C$21/1000</f>
        <v>-0.0</v>
      </c>
      <c r="AZ11">
        <f>-AZ6*'Inputs'!$C$21/1000</f>
        <v>-0.0</v>
      </c>
      <c r="BA11">
        <f>-BA6*'Inputs'!$C$21/1000</f>
        <v>-0.0</v>
      </c>
      <c r="BB11">
        <f>-BB6*'Inputs'!$C$21/1000</f>
        <v>-0.0</v>
      </c>
    </row>
    <row r="12">
      <c r="A12" t="inlineStr">
        <is>
          <t>CO2 revenue (kEUR)</t>
        </is>
      </c>
      <c r="C12">
        <f>C6*'Inputs'!$C$23*0/1000</f>
        <v>0.0</v>
      </c>
      <c r="D12">
        <f>D6*'Inputs'!$C$23*0/1000</f>
        <v>0.0</v>
      </c>
      <c r="E12">
        <f>E6*'Inputs'!$C$23*0/1000</f>
        <v>0.0</v>
      </c>
      <c r="F12">
        <f>F6*'Inputs'!$C$23*0/1000</f>
        <v>0.0</v>
      </c>
      <c r="G12">
        <f>G6*'Inputs'!$C$23*0/1000</f>
        <v>0.0</v>
      </c>
      <c r="H12">
        <f>H6*'Inputs'!$C$23*0/1000</f>
        <v>0.0</v>
      </c>
      <c r="I12">
        <f>I6*'Inputs'!$C$23*0/1000</f>
        <v>0.0</v>
      </c>
      <c r="J12">
        <f>J6*'Inputs'!$C$23*0/1000</f>
        <v>0.0</v>
      </c>
      <c r="K12">
        <f>K6*'Inputs'!$C$23*0/1000</f>
        <v>0.0</v>
      </c>
      <c r="L12">
        <f>L6*'Inputs'!$C$23*0/1000</f>
        <v>0.0</v>
      </c>
      <c r="M12">
        <f>M6*'Inputs'!$C$23*0/1000</f>
        <v>0.0</v>
      </c>
      <c r="N12">
        <f>N6*'Inputs'!$C$23*0/1000</f>
        <v>0.0</v>
      </c>
      <c r="O12">
        <f>O6*'Inputs'!$C$23*0/1000</f>
        <v>0.0</v>
      </c>
      <c r="P12">
        <f>P6*'Inputs'!$C$23*0/1000</f>
        <v>0.0</v>
      </c>
      <c r="Q12">
        <f>Q6*'Inputs'!$C$23*0/1000</f>
        <v>0.0</v>
      </c>
      <c r="R12">
        <f>R6*'Inputs'!$C$23*0/1000</f>
        <v>0.0</v>
      </c>
      <c r="S12">
        <f>S6*'Inputs'!$C$23*0/1000</f>
        <v>0.0</v>
      </c>
      <c r="T12">
        <f>T6*'Inputs'!$C$23*0/1000</f>
        <v>0.0</v>
      </c>
      <c r="U12">
        <f>U6*'Inputs'!$C$23*0/1000</f>
        <v>0.0</v>
      </c>
      <c r="V12">
        <f>V6*'Inputs'!$C$23*0/1000</f>
        <v>0.0</v>
      </c>
      <c r="W12">
        <f>W6*'Inputs'!$C$23*0/1000</f>
        <v>0.0</v>
      </c>
      <c r="X12">
        <f>X6*'Inputs'!$C$23*0/1000</f>
        <v>0.0</v>
      </c>
      <c r="Y12">
        <f>Y6*'Inputs'!$C$23*0/1000</f>
        <v>0.0</v>
      </c>
      <c r="Z12">
        <f>Z6*'Inputs'!$C$23*0/1000</f>
        <v>0.0</v>
      </c>
      <c r="AA12">
        <f>AA6*'Inputs'!$C$23*0/1000</f>
        <v>0.0</v>
      </c>
      <c r="AB12">
        <f>AB6*'Inputs'!$C$23*0/1000</f>
        <v>0.0</v>
      </c>
      <c r="AC12">
        <f>AC6*'Inputs'!$C$23*0/1000</f>
        <v>0.0</v>
      </c>
      <c r="AD12">
        <f>AD6*'Inputs'!$C$23*0/1000</f>
        <v>0.0</v>
      </c>
      <c r="AE12">
        <f>AE6*'Inputs'!$C$23*0/1000</f>
        <v>0.0</v>
      </c>
      <c r="AF12">
        <f>AF6*'Inputs'!$C$23*0/1000</f>
        <v>0.0</v>
      </c>
      <c r="AG12">
        <f>AG6*'Inputs'!$C$23*0/1000</f>
        <v>0.0</v>
      </c>
      <c r="AH12">
        <f>AH6*'Inputs'!$C$23*0/1000</f>
        <v>0.0</v>
      </c>
      <c r="AI12">
        <f>AI6*'Inputs'!$C$23*0/1000</f>
        <v>0.0</v>
      </c>
      <c r="AJ12">
        <f>AJ6*'Inputs'!$C$23*0/1000</f>
        <v>0.0</v>
      </c>
      <c r="AK12">
        <f>AK6*'Inputs'!$C$23*0/1000</f>
        <v>0.0</v>
      </c>
      <c r="AL12">
        <f>AL6*'Inputs'!$C$23*0/1000</f>
        <v>0.0</v>
      </c>
      <c r="AM12">
        <f>AM6*'Inputs'!$C$23*0/1000</f>
        <v>0.0</v>
      </c>
      <c r="AN12">
        <f>AN6*'Inputs'!$C$23*0/1000</f>
        <v>0.0</v>
      </c>
      <c r="AO12">
        <f>AO6*'Inputs'!$C$23*0/1000</f>
        <v>0.0</v>
      </c>
      <c r="AP12">
        <f>AP6*'Inputs'!$C$23*0/1000</f>
        <v>0.0</v>
      </c>
      <c r="AQ12">
        <f>AQ6*'Inputs'!$C$23*0/1000</f>
        <v>0.0</v>
      </c>
      <c r="AR12">
        <f>AR6*'Inputs'!$C$23*0/1000</f>
        <v>0.0</v>
      </c>
      <c r="AS12">
        <f>AS6*'Inputs'!$C$23*0/1000</f>
        <v>0.0</v>
      </c>
      <c r="AT12">
        <f>AT6*'Inputs'!$C$23*0/1000</f>
        <v>0.0</v>
      </c>
      <c r="AU12">
        <f>AU6*'Inputs'!$C$23*0/1000</f>
        <v>0.0</v>
      </c>
      <c r="AV12">
        <f>AV6*'Inputs'!$C$23*0/1000</f>
        <v>0.0</v>
      </c>
      <c r="AW12">
        <f>AW6*'Inputs'!$C$23*0/1000</f>
        <v>0.0</v>
      </c>
      <c r="AX12">
        <f>AX6*'Inputs'!$C$23*0/1000</f>
        <v>0.0</v>
      </c>
      <c r="AY12">
        <f>AY6*'Inputs'!$C$23*0/1000</f>
        <v>0.0</v>
      </c>
      <c r="AZ12">
        <f>AZ6*'Inputs'!$C$23*0/1000</f>
        <v>0.0</v>
      </c>
      <c r="BA12">
        <f>BA6*'Inputs'!$C$23*0/1000</f>
        <v>0.0</v>
      </c>
      <c r="BB12">
        <f>BB6*'Inputs'!$C$23*0/1000</f>
        <v>0.0</v>
      </c>
    </row>
    <row r="13">
      <c r="A13" s="1" t="inlineStr">
        <is>
          <t>Total Revenue</t>
        </is>
      </c>
      <c r="C13" s="1">
        <f>C10+C11+C12</f>
        <v>0.0</v>
      </c>
      <c r="D13" s="1">
        <f>D10+D11+D12</f>
        <v>0.0</v>
      </c>
      <c r="E13" s="1">
        <f>E10+E11+E12</f>
        <v>2021.45625</v>
      </c>
      <c r="F13" s="1">
        <f>F10+F11+F12</f>
        <v>2021.45625</v>
      </c>
      <c r="G13" s="1">
        <f>G10+G11+G12</f>
        <v>2053.6378335000004</v>
      </c>
      <c r="H13" s="1">
        <f>H10+H11+H12</f>
        <v>2053.6378335000004</v>
      </c>
      <c r="I13" s="1">
        <f>I10+I11+I12</f>
        <v>2086.3317478093204</v>
      </c>
      <c r="J13" s="1">
        <f>J10+J11+J12</f>
        <v>2086.3317478093204</v>
      </c>
      <c r="K13" s="1">
        <f>K10+K11+K12</f>
        <v>2119.546149234445</v>
      </c>
      <c r="L13" s="1">
        <f>L10+L11+L12</f>
        <v>2119.546149234445</v>
      </c>
      <c r="M13" s="1">
        <f>M10+M11+M12</f>
        <v>2153.2893239302566</v>
      </c>
      <c r="N13" s="1">
        <f>N10+N11+N12</f>
        <v>2153.2893239302566</v>
      </c>
      <c r="O13" s="1">
        <f>O10+O11+O12</f>
        <v>2187.569689967226</v>
      </c>
      <c r="P13" s="1">
        <f>P10+P11+P12</f>
        <v>2187.569689967226</v>
      </c>
      <c r="Q13" s="1">
        <f>Q10+Q11+Q12</f>
        <v>2222.395799431505</v>
      </c>
      <c r="R13" s="1">
        <f>R10+R11+R12</f>
        <v>2222.395799431505</v>
      </c>
      <c r="S13" s="1">
        <f>S10+S11+S12</f>
        <v>2257.776340558454</v>
      </c>
      <c r="T13" s="1">
        <f>T10+T11+T12</f>
        <v>2257.776340558454</v>
      </c>
      <c r="U13" s="1">
        <f>U10+U11+U12</f>
        <v>2293.720139900145</v>
      </c>
      <c r="V13" s="1">
        <f>V10+V11+V12</f>
        <v>2293.720139900145</v>
      </c>
      <c r="W13" s="1">
        <f>W10+W11+W12</f>
        <v>2330.2361645273554</v>
      </c>
      <c r="X13" s="1">
        <f>X10+X11+X12</f>
        <v>2330.2361645273554</v>
      </c>
      <c r="Y13" s="1">
        <f>Y10+Y11+Y12</f>
        <v>2574.105971127709</v>
      </c>
      <c r="Z13" s="1">
        <f>Z10+Z11+Z12</f>
        <v>2574.105971127709</v>
      </c>
      <c r="AA13" s="1">
        <f>AA10+AA11+AA12</f>
        <v>2615.085738188062</v>
      </c>
      <c r="AB13" s="1">
        <f>AB10+AB11+AB12</f>
        <v>2615.085738188062</v>
      </c>
      <c r="AC13" s="1">
        <f>AC10+AC11+AC12</f>
        <v>2656.7179031400165</v>
      </c>
      <c r="AD13" s="1">
        <f>AD10+AD11+AD12</f>
        <v>2656.7179031400165</v>
      </c>
      <c r="AE13" s="1">
        <f>AE10+AE11+AE12</f>
        <v>2699.0128521580054</v>
      </c>
      <c r="AF13" s="1">
        <f>AF10+AF11+AF12</f>
        <v>2699.0128521580054</v>
      </c>
      <c r="AG13" s="1">
        <f>AG10+AG11+AG12</f>
        <v>2741.981136764361</v>
      </c>
      <c r="AH13" s="1">
        <f>AH10+AH11+AH12</f>
        <v>2741.981136764361</v>
      </c>
      <c r="AI13" s="1">
        <f>AI10+AI11+AI12</f>
        <v>2785.6334764616495</v>
      </c>
      <c r="AJ13" s="1">
        <f>AJ10+AJ11+AJ12</f>
        <v>2785.6334764616495</v>
      </c>
      <c r="AK13" s="1">
        <f>AK10+AK11+AK12</f>
        <v>2829.980761406919</v>
      </c>
      <c r="AL13" s="1">
        <f>AL10+AL11+AL12</f>
        <v>2829.980761406919</v>
      </c>
      <c r="AM13" s="1">
        <f>AM10+AM11+AM12</f>
        <v>2875.0340551285176</v>
      </c>
      <c r="AN13" s="1">
        <f>AN10+AN11+AN12</f>
        <v>2875.0340551285176</v>
      </c>
      <c r="AO13" s="1">
        <f>AO10+AO11+AO12</f>
        <v>2920.804597286163</v>
      </c>
      <c r="AP13" s="1">
        <f>AP10+AP11+AP12</f>
        <v>2920.804597286163</v>
      </c>
      <c r="AQ13" s="1">
        <f>AQ10+AQ11+AQ12</f>
        <v>2967.303806474959</v>
      </c>
      <c r="AR13" s="1">
        <f>AR10+AR11+AR12</f>
        <v>2967.303806474959</v>
      </c>
      <c r="AS13" s="1">
        <f>AS10+AS11+AS12</f>
        <v>3014.5432830740406</v>
      </c>
      <c r="AT13" s="1">
        <f>AT10+AT11+AT12</f>
        <v>3014.5432830740406</v>
      </c>
      <c r="AU13" s="1">
        <f>AU10+AU11+AU12</f>
        <v>3062.5348121405796</v>
      </c>
      <c r="AV13" s="1">
        <f>AV10+AV11+AV12</f>
        <v>3062.5348121405796</v>
      </c>
      <c r="AW13" s="1">
        <f>AW10+AW11+AW12</f>
        <v>3111.290366349857</v>
      </c>
      <c r="AX13" s="1">
        <f>AX10+AX11+AX12</f>
        <v>3111.290366349857</v>
      </c>
      <c r="AY13" s="1">
        <f>AY10+AY11+AY12</f>
        <v>3160.8221089821477</v>
      </c>
      <c r="AZ13" s="1">
        <f>AZ10+AZ11+AZ12</f>
        <v>3160.8221089821477</v>
      </c>
      <c r="BA13" s="1">
        <f>BA10+BA11+BA12</f>
        <v>3211.1423969571433</v>
      </c>
      <c r="BB13" s="1">
        <f>BB10+BB11+BB12</f>
        <v>3211.1423969571433</v>
      </c>
    </row>
    <row r="15">
      <c r="A15" s="1" t="inlineStr">
        <is>
          <t>TOTAL REVENUE (kEUR, life of project)</t>
        </is>
      </c>
      <c r="C15" s="1">
        <f>SUM(C13:BB13)</f>
        <v>129903.90540899769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5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</cols>
  <sheetData>
    <row r="1">
      <c r="A1" s="1" t="inlineStr">
        <is>
          <t>Generic Solar PV — Debt Service (DSCR Sculpt)</t>
        </is>
      </c>
    </row>
    <row r="3">
      <c r="A3" t="inlineStr">
        <is>
          <t>Sizing note: senior debt is sized off a CFADS proxy that excludes the interest tax shield (Tax_sizing = MAX(0,EBITDA-Depreciation)*tax_rate), to avoid a circular reference between interest and tax. Realized DSCR reported on the Cash Flow tab uses the true post-interest tax.</t>
        </is>
      </c>
    </row>
    <row r="5">
      <c r="A5" t="inlineStr">
        <is>
          <t>Period</t>
        </is>
      </c>
      <c r="C5" s="1" t="inlineStr">
        <is>
          <t>P1</t>
        </is>
      </c>
      <c r="D5" s="1" t="inlineStr">
        <is>
          <t>P2</t>
        </is>
      </c>
      <c r="E5" s="1" t="inlineStr">
        <is>
          <t>P3</t>
        </is>
      </c>
      <c r="F5" s="1" t="inlineStr">
        <is>
          <t>P4</t>
        </is>
      </c>
      <c r="G5" s="1" t="inlineStr">
        <is>
          <t>P5</t>
        </is>
      </c>
      <c r="H5" s="1" t="inlineStr">
        <is>
          <t>P6</t>
        </is>
      </c>
      <c r="I5" s="1" t="inlineStr">
        <is>
          <t>P7</t>
        </is>
      </c>
      <c r="J5" s="1" t="inlineStr">
        <is>
          <t>P8</t>
        </is>
      </c>
      <c r="K5" s="1" t="inlineStr">
        <is>
          <t>P9</t>
        </is>
      </c>
      <c r="L5" s="1" t="inlineStr">
        <is>
          <t>P10</t>
        </is>
      </c>
      <c r="M5" s="1" t="inlineStr">
        <is>
          <t>P11</t>
        </is>
      </c>
      <c r="N5" s="1" t="inlineStr">
        <is>
          <t>P12</t>
        </is>
      </c>
      <c r="O5" s="1" t="inlineStr">
        <is>
          <t>P13</t>
        </is>
      </c>
      <c r="P5" s="1" t="inlineStr">
        <is>
          <t>P14</t>
        </is>
      </c>
      <c r="Q5" s="1" t="inlineStr">
        <is>
          <t>P15</t>
        </is>
      </c>
      <c r="R5" s="1" t="inlineStr">
        <is>
          <t>P16</t>
        </is>
      </c>
      <c r="S5" s="1" t="inlineStr">
        <is>
          <t>P17</t>
        </is>
      </c>
      <c r="T5" s="1" t="inlineStr">
        <is>
          <t>P18</t>
        </is>
      </c>
      <c r="U5" s="1" t="inlineStr">
        <is>
          <t>P19</t>
        </is>
      </c>
      <c r="V5" s="1" t="inlineStr">
        <is>
          <t>P20</t>
        </is>
      </c>
      <c r="W5" s="1" t="inlineStr">
        <is>
          <t>P21</t>
        </is>
      </c>
      <c r="X5" s="1" t="inlineStr">
        <is>
          <t>P22</t>
        </is>
      </c>
      <c r="Y5" s="1" t="inlineStr">
        <is>
          <t>P23</t>
        </is>
      </c>
      <c r="Z5" s="1" t="inlineStr">
        <is>
          <t>P24</t>
        </is>
      </c>
      <c r="AA5" s="1" t="inlineStr">
        <is>
          <t>P25</t>
        </is>
      </c>
      <c r="AB5" s="1" t="inlineStr">
        <is>
          <t>P26</t>
        </is>
      </c>
      <c r="AC5" s="1" t="inlineStr">
        <is>
          <t>P27</t>
        </is>
      </c>
      <c r="AD5" s="1" t="inlineStr">
        <is>
          <t>P28</t>
        </is>
      </c>
      <c r="AE5" s="1" t="inlineStr">
        <is>
          <t>P29</t>
        </is>
      </c>
      <c r="AF5" s="1" t="inlineStr">
        <is>
          <t>P30</t>
        </is>
      </c>
      <c r="AG5" s="1" t="inlineStr">
        <is>
          <t>P31</t>
        </is>
      </c>
      <c r="AH5" s="1" t="inlineStr">
        <is>
          <t>P32</t>
        </is>
      </c>
      <c r="AI5" s="1" t="inlineStr">
        <is>
          <t>P33</t>
        </is>
      </c>
      <c r="AJ5" s="1" t="inlineStr">
        <is>
          <t>P34</t>
        </is>
      </c>
      <c r="AK5" s="1" t="inlineStr">
        <is>
          <t>P35</t>
        </is>
      </c>
      <c r="AL5" s="1" t="inlineStr">
        <is>
          <t>P36</t>
        </is>
      </c>
      <c r="AM5" s="1" t="inlineStr">
        <is>
          <t>P37</t>
        </is>
      </c>
      <c r="AN5" s="1" t="inlineStr">
        <is>
          <t>P38</t>
        </is>
      </c>
      <c r="AO5" s="1" t="inlineStr">
        <is>
          <t>P39</t>
        </is>
      </c>
      <c r="AP5" s="1" t="inlineStr">
        <is>
          <t>P40</t>
        </is>
      </c>
      <c r="AQ5" s="1" t="inlineStr">
        <is>
          <t>P41</t>
        </is>
      </c>
      <c r="AR5" s="1" t="inlineStr">
        <is>
          <t>P42</t>
        </is>
      </c>
      <c r="AS5" s="1" t="inlineStr">
        <is>
          <t>P43</t>
        </is>
      </c>
      <c r="AT5" s="1" t="inlineStr">
        <is>
          <t>P44</t>
        </is>
      </c>
      <c r="AU5" s="1" t="inlineStr">
        <is>
          <t>P45</t>
        </is>
      </c>
      <c r="AV5" s="1" t="inlineStr">
        <is>
          <t>P46</t>
        </is>
      </c>
      <c r="AW5" s="1" t="inlineStr">
        <is>
          <t>P47</t>
        </is>
      </c>
      <c r="AX5" s="1" t="inlineStr">
        <is>
          <t>P48</t>
        </is>
      </c>
      <c r="AY5" s="1" t="inlineStr">
        <is>
          <t>P49</t>
        </is>
      </c>
      <c r="AZ5" s="1" t="inlineStr">
        <is>
          <t>P50</t>
        </is>
      </c>
      <c r="BA5" s="1" t="inlineStr">
        <is>
          <t>P51</t>
        </is>
      </c>
      <c r="BB5" s="1" t="inlineStr">
        <is>
          <t>P52</t>
        </is>
      </c>
    </row>
    <row r="6">
      <c r="A6" t="inlineStr">
        <is>
          <t>Operating year</t>
        </is>
      </c>
      <c r="C6" t="inlineStr">
        <is>
          <t>-</t>
        </is>
      </c>
      <c r="D6" t="inlineStr">
        <is>
          <t>-</t>
        </is>
      </c>
      <c r="E6" t="n">
        <v>1</v>
      </c>
      <c r="F6" t="n">
        <v>1</v>
      </c>
      <c r="G6" t="n">
        <v>2</v>
      </c>
      <c r="H6" t="n">
        <v>2</v>
      </c>
      <c r="I6" t="n">
        <v>3</v>
      </c>
      <c r="J6" t="n">
        <v>3</v>
      </c>
      <c r="K6" t="n">
        <v>4</v>
      </c>
      <c r="L6" t="n">
        <v>4</v>
      </c>
      <c r="M6" t="n">
        <v>5</v>
      </c>
      <c r="N6" t="n">
        <v>5</v>
      </c>
      <c r="O6" t="n">
        <v>6</v>
      </c>
      <c r="P6" t="n">
        <v>6</v>
      </c>
      <c r="Q6" t="n">
        <v>7</v>
      </c>
      <c r="R6" t="n">
        <v>7</v>
      </c>
      <c r="S6" t="n">
        <v>8</v>
      </c>
      <c r="T6" t="n">
        <v>8</v>
      </c>
      <c r="U6" t="n">
        <v>9</v>
      </c>
      <c r="V6" t="n">
        <v>9</v>
      </c>
      <c r="W6" t="n">
        <v>10</v>
      </c>
      <c r="X6" t="n">
        <v>10</v>
      </c>
      <c r="Y6" t="n">
        <v>11</v>
      </c>
      <c r="Z6" t="n">
        <v>11</v>
      </c>
      <c r="AA6" t="n">
        <v>12</v>
      </c>
      <c r="AB6" t="n">
        <v>12</v>
      </c>
      <c r="AC6" t="n">
        <v>13</v>
      </c>
      <c r="AD6" t="n">
        <v>13</v>
      </c>
      <c r="AE6" t="n">
        <v>14</v>
      </c>
      <c r="AF6" t="n">
        <v>14</v>
      </c>
      <c r="AG6" t="n">
        <v>15</v>
      </c>
      <c r="AH6" t="n">
        <v>15</v>
      </c>
      <c r="AI6" t="n">
        <v>16</v>
      </c>
      <c r="AJ6" t="n">
        <v>16</v>
      </c>
      <c r="AK6" t="n">
        <v>17</v>
      </c>
      <c r="AL6" t="n">
        <v>17</v>
      </c>
      <c r="AM6" t="n">
        <v>18</v>
      </c>
      <c r="AN6" t="n">
        <v>18</v>
      </c>
      <c r="AO6" t="n">
        <v>19</v>
      </c>
      <c r="AP6" t="n">
        <v>19</v>
      </c>
      <c r="AQ6" t="n">
        <v>20</v>
      </c>
      <c r="AR6" t="n">
        <v>20</v>
      </c>
      <c r="AS6" t="n">
        <v>21</v>
      </c>
      <c r="AT6" t="n">
        <v>21</v>
      </c>
      <c r="AU6" t="n">
        <v>22</v>
      </c>
      <c r="AV6" t="n">
        <v>22</v>
      </c>
      <c r="AW6" t="n">
        <v>23</v>
      </c>
      <c r="AX6" t="n">
        <v>23</v>
      </c>
      <c r="AY6" t="n">
        <v>24</v>
      </c>
      <c r="AZ6" t="n">
        <v>24</v>
      </c>
      <c r="BA6" t="n">
        <v>25</v>
      </c>
      <c r="BB6" t="n">
        <v>25</v>
      </c>
    </row>
    <row r="8">
      <c r="A8" t="inlineStr">
        <is>
          <t>EBITDA (= Revenue - OpEx)</t>
        </is>
      </c>
      <c r="C8">
        <f>'Revenue'!C13-'OpEx'!C10</f>
        <v>0.0</v>
      </c>
      <c r="D8">
        <f>'Revenue'!D13-'OpEx'!D10</f>
        <v>0.0</v>
      </c>
      <c r="E8">
        <f>'Revenue'!E13-'OpEx'!E10</f>
        <v>1831.45625</v>
      </c>
      <c r="F8">
        <f>'Revenue'!F13-'OpEx'!F10</f>
        <v>1831.45625</v>
      </c>
      <c r="G8">
        <f>'Revenue'!G13-'OpEx'!G10</f>
        <v>1859.8378335000004</v>
      </c>
      <c r="H8">
        <f>'Revenue'!H13-'OpEx'!H10</f>
        <v>1859.8378335000004</v>
      </c>
      <c r="I8">
        <f>'Revenue'!I13-'OpEx'!I10</f>
        <v>1888.6557478093205</v>
      </c>
      <c r="J8">
        <f>'Revenue'!J13-'OpEx'!J10</f>
        <v>1888.6557478093205</v>
      </c>
      <c r="K8">
        <f>'Revenue'!K13-'OpEx'!K10</f>
        <v>1917.9166292344448</v>
      </c>
      <c r="L8">
        <f>'Revenue'!L13-'OpEx'!L10</f>
        <v>1917.9166292344448</v>
      </c>
      <c r="M8">
        <f>'Revenue'!M13-'OpEx'!M10</f>
        <v>1947.6272135302565</v>
      </c>
      <c r="N8">
        <f>'Revenue'!N13-'OpEx'!N10</f>
        <v>1947.6272135302565</v>
      </c>
      <c r="O8">
        <f>'Revenue'!O13-'OpEx'!O10</f>
        <v>1977.7943373592261</v>
      </c>
      <c r="P8">
        <f>'Revenue'!P13-'OpEx'!P10</f>
        <v>1977.7943373592261</v>
      </c>
      <c r="Q8">
        <f>'Revenue'!Q13-'OpEx'!Q10</f>
        <v>2008.4249397713452</v>
      </c>
      <c r="R8">
        <f>'Revenue'!R13-'OpEx'!R10</f>
        <v>2008.4249397713452</v>
      </c>
      <c r="S8">
        <f>'Revenue'!S13-'OpEx'!S10</f>
        <v>2039.526063705091</v>
      </c>
      <c r="T8">
        <f>'Revenue'!T13-'OpEx'!T10</f>
        <v>2039.526063705091</v>
      </c>
      <c r="U8">
        <f>'Revenue'!U13-'OpEx'!U10</f>
        <v>2071.1048575097147</v>
      </c>
      <c r="V8">
        <f>'Revenue'!V13-'OpEx'!V10</f>
        <v>2071.1048575097147</v>
      </c>
      <c r="W8">
        <f>'Revenue'!W13-'OpEx'!W10</f>
        <v>2103.1685764891163</v>
      </c>
      <c r="X8">
        <f>'Revenue'!X13-'OpEx'!X10</f>
        <v>2103.1685764891163</v>
      </c>
      <c r="Y8">
        <f>'Revenue'!Y13-'OpEx'!Y10</f>
        <v>2342.497031328705</v>
      </c>
      <c r="Z8">
        <f>'Revenue'!Z13-'OpEx'!Z10</f>
        <v>2342.497031328705</v>
      </c>
      <c r="AA8">
        <f>'Revenue'!AA13-'OpEx'!AA10</f>
        <v>2378.844619593078</v>
      </c>
      <c r="AB8">
        <f>'Revenue'!AB13-'OpEx'!AB10</f>
        <v>2378.844619593078</v>
      </c>
      <c r="AC8">
        <f>'Revenue'!AC13-'OpEx'!AC10</f>
        <v>2415.7519621731326</v>
      </c>
      <c r="AD8">
        <f>'Revenue'!AD13-'OpEx'!AD10</f>
        <v>2415.7519621731326</v>
      </c>
      <c r="AE8">
        <f>'Revenue'!AE13-'OpEx'!AE10</f>
        <v>2453.227592371784</v>
      </c>
      <c r="AF8">
        <f>'Revenue'!AF13-'OpEx'!AF10</f>
        <v>2453.227592371784</v>
      </c>
      <c r="AG8">
        <f>'Revenue'!AG13-'OpEx'!AG10</f>
        <v>2491.2801717824154</v>
      </c>
      <c r="AH8">
        <f>'Revenue'!AH13-'OpEx'!AH10</f>
        <v>2491.2801717824154</v>
      </c>
      <c r="AI8">
        <f>'Revenue'!AI13-'OpEx'!AI10</f>
        <v>2529.9184921800647</v>
      </c>
      <c r="AJ8">
        <f>'Revenue'!AJ13-'OpEx'!AJ10</f>
        <v>2529.9184921800647</v>
      </c>
      <c r="AK8">
        <f>'Revenue'!AK13-'OpEx'!AK10</f>
        <v>2569.151477439703</v>
      </c>
      <c r="AL8">
        <f>'Revenue'!AL13-'OpEx'!AL10</f>
        <v>2569.151477439703</v>
      </c>
      <c r="AM8">
        <f>'Revenue'!AM13-'OpEx'!AM10</f>
        <v>2608.988185481957</v>
      </c>
      <c r="AN8">
        <f>'Revenue'!AN13-'OpEx'!AN10</f>
        <v>2608.988185481957</v>
      </c>
      <c r="AO8">
        <f>'Revenue'!AO13-'OpEx'!AO10</f>
        <v>2649.437810246671</v>
      </c>
      <c r="AP8">
        <f>'Revenue'!AP13-'OpEx'!AP10</f>
        <v>2649.437810246671</v>
      </c>
      <c r="AQ8">
        <f>'Revenue'!AQ13-'OpEx'!AQ10</f>
        <v>2690.5096836946773</v>
      </c>
      <c r="AR8">
        <f>'Revenue'!AR13-'OpEx'!AR10</f>
        <v>2690.5096836946773</v>
      </c>
      <c r="AS8">
        <f>'Revenue'!AS13-'OpEx'!AS10</f>
        <v>2732.2132778381533</v>
      </c>
      <c r="AT8">
        <f>'Revenue'!AT13-'OpEx'!AT10</f>
        <v>2732.2132778381533</v>
      </c>
      <c r="AU8">
        <f>'Revenue'!AU13-'OpEx'!AU10</f>
        <v>2774.5582067999744</v>
      </c>
      <c r="AV8">
        <f>'Revenue'!AV13-'OpEx'!AV10</f>
        <v>2774.5582067999744</v>
      </c>
      <c r="AW8">
        <f>'Revenue'!AW13-'OpEx'!AW10</f>
        <v>2817.5542289024397</v>
      </c>
      <c r="AX8">
        <f>'Revenue'!AX13-'OpEx'!AX10</f>
        <v>2817.5542289024397</v>
      </c>
      <c r="AY8">
        <f>'Revenue'!AY13-'OpEx'!AY10</f>
        <v>2861.211248785782</v>
      </c>
      <c r="AZ8">
        <f>'Revenue'!AZ13-'OpEx'!AZ10</f>
        <v>2861.211248785782</v>
      </c>
      <c r="BA8">
        <f>'Revenue'!BA13-'OpEx'!BA10</f>
        <v>2905.5393195568504</v>
      </c>
      <c r="BB8">
        <f>'Revenue'!BB13-'OpEx'!BB10</f>
        <v>2905.5393195568504</v>
      </c>
    </row>
    <row r="9">
      <c r="A9" t="inlineStr">
        <is>
          <t>Depreciation (straight-line, kEUR)</t>
        </is>
      </c>
      <c r="C9" t="n">
        <v>0</v>
      </c>
      <c r="D9" t="n">
        <v>0</v>
      </c>
      <c r="E9">
        <f>'CapEx'!$BD$11/'Inputs'!$C$37/2</f>
        <v>825.0</v>
      </c>
      <c r="F9">
        <f>'CapEx'!$BD$11/'Inputs'!$C$37/2</f>
        <v>825.0</v>
      </c>
      <c r="G9">
        <f>'CapEx'!$BD$11/'Inputs'!$C$37/2</f>
        <v>825.0</v>
      </c>
      <c r="H9">
        <f>'CapEx'!$BD$11/'Inputs'!$C$37/2</f>
        <v>825.0</v>
      </c>
      <c r="I9">
        <f>'CapEx'!$BD$11/'Inputs'!$C$37/2</f>
        <v>825.0</v>
      </c>
      <c r="J9">
        <f>'CapEx'!$BD$11/'Inputs'!$C$37/2</f>
        <v>825.0</v>
      </c>
      <c r="K9">
        <f>'CapEx'!$BD$11/'Inputs'!$C$37/2</f>
        <v>825.0</v>
      </c>
      <c r="L9">
        <f>'CapEx'!$BD$11/'Inputs'!$C$37/2</f>
        <v>825.0</v>
      </c>
      <c r="M9">
        <f>'CapEx'!$BD$11/'Inputs'!$C$37/2</f>
        <v>825.0</v>
      </c>
      <c r="N9">
        <f>'CapEx'!$BD$11/'Inputs'!$C$37/2</f>
        <v>825.0</v>
      </c>
      <c r="O9">
        <f>'CapEx'!$BD$11/'Inputs'!$C$37/2</f>
        <v>825.0</v>
      </c>
      <c r="P9">
        <f>'CapEx'!$BD$11/'Inputs'!$C$37/2</f>
        <v>825.0</v>
      </c>
      <c r="Q9">
        <f>'CapEx'!$BD$11/'Inputs'!$C$37/2</f>
        <v>825.0</v>
      </c>
      <c r="R9">
        <f>'CapEx'!$BD$11/'Inputs'!$C$37/2</f>
        <v>825.0</v>
      </c>
      <c r="S9">
        <f>'CapEx'!$BD$11/'Inputs'!$C$37/2</f>
        <v>825.0</v>
      </c>
      <c r="T9">
        <f>'CapEx'!$BD$11/'Inputs'!$C$37/2</f>
        <v>825.0</v>
      </c>
      <c r="U9">
        <f>'CapEx'!$BD$11/'Inputs'!$C$37/2</f>
        <v>825.0</v>
      </c>
      <c r="V9">
        <f>'CapEx'!$BD$11/'Inputs'!$C$37/2</f>
        <v>825.0</v>
      </c>
      <c r="W9">
        <f>'CapEx'!$BD$11/'Inputs'!$C$37/2</f>
        <v>825.0</v>
      </c>
      <c r="X9">
        <f>'CapEx'!$BD$11/'Inputs'!$C$37/2</f>
        <v>825.0</v>
      </c>
      <c r="Y9">
        <f>'CapEx'!$BD$11/'Inputs'!$C$37/2</f>
        <v>825.0</v>
      </c>
      <c r="Z9">
        <f>'CapEx'!$BD$11/'Inputs'!$C$37/2</f>
        <v>825.0</v>
      </c>
      <c r="AA9">
        <f>'CapEx'!$BD$11/'Inputs'!$C$37/2</f>
        <v>825.0</v>
      </c>
      <c r="AB9">
        <f>'CapEx'!$BD$11/'Inputs'!$C$37/2</f>
        <v>825.0</v>
      </c>
      <c r="AC9">
        <f>'CapEx'!$BD$11/'Inputs'!$C$37/2</f>
        <v>825.0</v>
      </c>
      <c r="AD9">
        <f>'CapEx'!$BD$11/'Inputs'!$C$37/2</f>
        <v>825.0</v>
      </c>
      <c r="AE9">
        <f>'CapEx'!$BD$11/'Inputs'!$C$37/2</f>
        <v>825.0</v>
      </c>
      <c r="AF9">
        <f>'CapEx'!$BD$11/'Inputs'!$C$37/2</f>
        <v>825.0</v>
      </c>
      <c r="AG9">
        <f>'CapEx'!$BD$11/'Inputs'!$C$37/2</f>
        <v>825.0</v>
      </c>
      <c r="AH9">
        <f>'CapEx'!$BD$11/'Inputs'!$C$37/2</f>
        <v>825.0</v>
      </c>
      <c r="AI9">
        <f>'CapEx'!$BD$11/'Inputs'!$C$37/2</f>
        <v>825.0</v>
      </c>
      <c r="AJ9">
        <f>'CapEx'!$BD$11/'Inputs'!$C$37/2</f>
        <v>825.0</v>
      </c>
      <c r="AK9">
        <f>'CapEx'!$BD$11/'Inputs'!$C$37/2</f>
        <v>825.0</v>
      </c>
      <c r="AL9">
        <f>'CapEx'!$BD$11/'Inputs'!$C$37/2</f>
        <v>825.0</v>
      </c>
      <c r="AM9">
        <f>'CapEx'!$BD$11/'Inputs'!$C$37/2</f>
        <v>825.0</v>
      </c>
      <c r="AN9">
        <f>'CapEx'!$BD$11/'Inputs'!$C$37/2</f>
        <v>825.0</v>
      </c>
      <c r="AO9">
        <f>'CapEx'!$BD$11/'Inputs'!$C$37/2</f>
        <v>825.0</v>
      </c>
      <c r="AP9">
        <f>'CapEx'!$BD$11/'Inputs'!$C$37/2</f>
        <v>825.0</v>
      </c>
      <c r="AQ9">
        <f>'CapEx'!$BD$11/'Inputs'!$C$37/2</f>
        <v>825.0</v>
      </c>
      <c r="AR9">
        <f>'CapEx'!$BD$11/'Inputs'!$C$37/2</f>
        <v>825.0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</row>
    <row r="10">
      <c r="A10" t="inlineStr">
        <is>
          <t>Tax (sizing proxy, no interest shield)</t>
        </is>
      </c>
      <c r="C10">
        <f>MAX(0,C8-C9)*'Inputs'!$C$33</f>
        <v>0.0</v>
      </c>
      <c r="D10">
        <f>MAX(0,D8-D9)*'Inputs'!$C$33</f>
        <v>0.0</v>
      </c>
      <c r="E10">
        <f>MAX(0,E8-E9)*'Inputs'!$C$33</f>
        <v>251.6140625</v>
      </c>
      <c r="F10">
        <f>MAX(0,F8-F9)*'Inputs'!$C$33</f>
        <v>251.6140625</v>
      </c>
      <c r="G10">
        <f>MAX(0,G8-G9)*'Inputs'!$C$33</f>
        <v>258.7094583750001</v>
      </c>
      <c r="H10">
        <f>MAX(0,H8-H9)*'Inputs'!$C$33</f>
        <v>258.7094583750001</v>
      </c>
      <c r="I10">
        <f>MAX(0,I8-I9)*'Inputs'!$C$33</f>
        <v>265.9139369523301</v>
      </c>
      <c r="J10">
        <f>MAX(0,J8-J9)*'Inputs'!$C$33</f>
        <v>265.9139369523301</v>
      </c>
      <c r="K10">
        <f>MAX(0,K8-K9)*'Inputs'!$C$33</f>
        <v>273.2291573086112</v>
      </c>
      <c r="L10">
        <f>MAX(0,L8-L9)*'Inputs'!$C$33</f>
        <v>273.2291573086112</v>
      </c>
      <c r="M10">
        <f>MAX(0,M8-M9)*'Inputs'!$C$33</f>
        <v>280.65680338256414</v>
      </c>
      <c r="N10">
        <f>MAX(0,N8-N9)*'Inputs'!$C$33</f>
        <v>280.65680338256414</v>
      </c>
      <c r="O10">
        <f>MAX(0,O8-O9)*'Inputs'!$C$33</f>
        <v>288.19858433980653</v>
      </c>
      <c r="P10">
        <f>MAX(0,P8-P9)*'Inputs'!$C$33</f>
        <v>288.19858433980653</v>
      </c>
      <c r="Q10">
        <f>MAX(0,Q8-Q9)*'Inputs'!$C$33</f>
        <v>295.8562349428363</v>
      </c>
      <c r="R10">
        <f>MAX(0,R8-R9)*'Inputs'!$C$33</f>
        <v>295.8562349428363</v>
      </c>
      <c r="S10">
        <f>MAX(0,S8-S9)*'Inputs'!$C$33</f>
        <v>303.63151592627275</v>
      </c>
      <c r="T10">
        <f>MAX(0,T8-T9)*'Inputs'!$C$33</f>
        <v>303.63151592627275</v>
      </c>
      <c r="U10">
        <f>MAX(0,U8-U9)*'Inputs'!$C$33</f>
        <v>311.5262143774287</v>
      </c>
      <c r="V10">
        <f>MAX(0,V8-V9)*'Inputs'!$C$33</f>
        <v>311.5262143774287</v>
      </c>
      <c r="W10">
        <f>MAX(0,W8-W9)*'Inputs'!$C$33</f>
        <v>319.54214412227907</v>
      </c>
      <c r="X10">
        <f>MAX(0,X8-X9)*'Inputs'!$C$33</f>
        <v>319.54214412227907</v>
      </c>
      <c r="Y10">
        <f>MAX(0,Y8-Y9)*'Inputs'!$C$33</f>
        <v>379.3742578321762</v>
      </c>
      <c r="Z10">
        <f>MAX(0,Z8-Z9)*'Inputs'!$C$33</f>
        <v>379.3742578321762</v>
      </c>
      <c r="AA10">
        <f>MAX(0,AA8-AA9)*'Inputs'!$C$33</f>
        <v>388.46115489826946</v>
      </c>
      <c r="AB10">
        <f>MAX(0,AB8-AB9)*'Inputs'!$C$33</f>
        <v>388.46115489826946</v>
      </c>
      <c r="AC10">
        <f>MAX(0,AC8-AC9)*'Inputs'!$C$33</f>
        <v>397.68799054328315</v>
      </c>
      <c r="AD10">
        <f>MAX(0,AD8-AD9)*'Inputs'!$C$33</f>
        <v>397.68799054328315</v>
      </c>
      <c r="AE10">
        <f>MAX(0,AE8-AE9)*'Inputs'!$C$33</f>
        <v>407.05689809294597</v>
      </c>
      <c r="AF10">
        <f>MAX(0,AF8-AF9)*'Inputs'!$C$33</f>
        <v>407.05689809294597</v>
      </c>
      <c r="AG10">
        <f>MAX(0,AG8-AG9)*'Inputs'!$C$33</f>
        <v>416.57004294560386</v>
      </c>
      <c r="AH10">
        <f>MAX(0,AH8-AH9)*'Inputs'!$C$33</f>
        <v>416.57004294560386</v>
      </c>
      <c r="AI10">
        <f>MAX(0,AI8-AI9)*'Inputs'!$C$33</f>
        <v>426.2296230450162</v>
      </c>
      <c r="AJ10">
        <f>MAX(0,AJ8-AJ9)*'Inputs'!$C$33</f>
        <v>426.2296230450162</v>
      </c>
      <c r="AK10">
        <f>MAX(0,AK8-AK9)*'Inputs'!$C$33</f>
        <v>436.0378693599257</v>
      </c>
      <c r="AL10">
        <f>MAX(0,AL8-AL9)*'Inputs'!$C$33</f>
        <v>436.0378693599257</v>
      </c>
      <c r="AM10">
        <f>MAX(0,AM8-AM9)*'Inputs'!$C$33</f>
        <v>445.9970463704892</v>
      </c>
      <c r="AN10">
        <f>MAX(0,AN8-AN9)*'Inputs'!$C$33</f>
        <v>445.9970463704892</v>
      </c>
      <c r="AO10">
        <f>MAX(0,AO8-AO9)*'Inputs'!$C$33</f>
        <v>456.1094525616677</v>
      </c>
      <c r="AP10">
        <f>MAX(0,AP8-AP9)*'Inputs'!$C$33</f>
        <v>456.1094525616677</v>
      </c>
      <c r="AQ10">
        <f>MAX(0,AQ8-AQ9)*'Inputs'!$C$33</f>
        <v>466.3774209236693</v>
      </c>
      <c r="AR10">
        <f>MAX(0,AR8-AR9)*'Inputs'!$C$33</f>
        <v>466.3774209236693</v>
      </c>
      <c r="AS10">
        <f>MAX(0,AS8-AS9)*'Inputs'!$C$33</f>
        <v>683.0533194595383</v>
      </c>
      <c r="AT10">
        <f>MAX(0,AT8-AT9)*'Inputs'!$C$33</f>
        <v>683.0533194595383</v>
      </c>
      <c r="AU10">
        <f>MAX(0,AU8-AU9)*'Inputs'!$C$33</f>
        <v>693.6395516999936</v>
      </c>
      <c r="AV10">
        <f>MAX(0,AV8-AV9)*'Inputs'!$C$33</f>
        <v>693.6395516999936</v>
      </c>
      <c r="AW10">
        <f>MAX(0,AW8-AW9)*'Inputs'!$C$33</f>
        <v>704.3885572256099</v>
      </c>
      <c r="AX10">
        <f>MAX(0,AX8-AX9)*'Inputs'!$C$33</f>
        <v>704.3885572256099</v>
      </c>
      <c r="AY10">
        <f>MAX(0,AY8-AY9)*'Inputs'!$C$33</f>
        <v>715.3028121964455</v>
      </c>
      <c r="AZ10">
        <f>MAX(0,AZ8-AZ9)*'Inputs'!$C$33</f>
        <v>715.3028121964455</v>
      </c>
      <c r="BA10">
        <f>MAX(0,BA8-BA9)*'Inputs'!$C$33</f>
        <v>726.3848298892126</v>
      </c>
      <c r="BB10">
        <f>MAX(0,BB8-BB9)*'Inputs'!$C$33</f>
        <v>726.3848298892126</v>
      </c>
    </row>
    <row r="11">
      <c r="A11" t="inlineStr">
        <is>
          <t>CFADS (sizing proxy)</t>
        </is>
      </c>
      <c r="C11">
        <f>C8-C10</f>
        <v>0.0</v>
      </c>
      <c r="D11">
        <f>D8-D10</f>
        <v>0.0</v>
      </c>
      <c r="E11">
        <f>E8-E10</f>
        <v>1579.8421875</v>
      </c>
      <c r="F11">
        <f>F8-F10</f>
        <v>1579.8421875</v>
      </c>
      <c r="G11">
        <f>G8-G10</f>
        <v>1601.1283751250003</v>
      </c>
      <c r="H11">
        <f>H8-H10</f>
        <v>1601.1283751250003</v>
      </c>
      <c r="I11">
        <f>I8-I10</f>
        <v>1622.7418108569905</v>
      </c>
      <c r="J11">
        <f>J8-J10</f>
        <v>1622.7418108569905</v>
      </c>
      <c r="K11">
        <f>K8-K10</f>
        <v>1644.6874719258335</v>
      </c>
      <c r="L11">
        <f>L8-L10</f>
        <v>1644.6874719258335</v>
      </c>
      <c r="M11">
        <f>M8-M10</f>
        <v>1666.9704101476923</v>
      </c>
      <c r="N11">
        <f>N8-N10</f>
        <v>1666.9704101476923</v>
      </c>
      <c r="O11">
        <f>O8-O10</f>
        <v>1689.5957530194196</v>
      </c>
      <c r="P11">
        <f>P8-P10</f>
        <v>1689.5957530194196</v>
      </c>
      <c r="Q11">
        <f>Q8-Q10</f>
        <v>1712.568704828509</v>
      </c>
      <c r="R11">
        <f>R8-R10</f>
        <v>1712.568704828509</v>
      </c>
      <c r="S11">
        <f>S8-S10</f>
        <v>1735.8945477788184</v>
      </c>
      <c r="T11">
        <f>T8-T10</f>
        <v>1735.8945477788184</v>
      </c>
      <c r="U11">
        <f>U8-U10</f>
        <v>1759.578643132286</v>
      </c>
      <c r="V11">
        <f>V8-V10</f>
        <v>1759.578643132286</v>
      </c>
      <c r="W11">
        <f>W8-W10</f>
        <v>1783.6264323668372</v>
      </c>
      <c r="X11">
        <f>X8-X10</f>
        <v>1783.6264323668372</v>
      </c>
      <c r="Y11">
        <f>Y8-Y10</f>
        <v>1963.1227734965287</v>
      </c>
      <c r="Z11">
        <f>Z8-Z10</f>
        <v>1963.1227734965287</v>
      </c>
      <c r="AA11">
        <f>AA8-AA10</f>
        <v>1990.3834646948085</v>
      </c>
      <c r="AB11">
        <f>AB8-AB10</f>
        <v>1990.3834646948085</v>
      </c>
      <c r="AC11">
        <f>AC8-AC10</f>
        <v>2018.0639716298494</v>
      </c>
      <c r="AD11">
        <f>AD8-AD10</f>
        <v>2018.0639716298494</v>
      </c>
      <c r="AE11">
        <f>AE8-AE10</f>
        <v>2046.1706942788378</v>
      </c>
      <c r="AF11">
        <f>AF8-AF10</f>
        <v>2046.1706942788378</v>
      </c>
      <c r="AG11">
        <f>AG8-AG10</f>
        <v>2074.7101288368117</v>
      </c>
      <c r="AH11">
        <f>AH8-AH10</f>
        <v>2074.7101288368117</v>
      </c>
      <c r="AI11">
        <f>AI8-AI10</f>
        <v>2103.6888691350487</v>
      </c>
      <c r="AJ11">
        <f>AJ8-AJ10</f>
        <v>2103.6888691350487</v>
      </c>
      <c r="AK11">
        <f>AK8-AK10</f>
        <v>2133.113608079777</v>
      </c>
      <c r="AL11">
        <f>AL8-AL10</f>
        <v>2133.113608079777</v>
      </c>
      <c r="AM11">
        <f>AM8-AM10</f>
        <v>2162.9911391114674</v>
      </c>
      <c r="AN11">
        <f>AN8-AN10</f>
        <v>2162.9911391114674</v>
      </c>
      <c r="AO11">
        <f>AO8-AO10</f>
        <v>2193.328357685003</v>
      </c>
      <c r="AP11">
        <f>AP8-AP10</f>
        <v>2193.328357685003</v>
      </c>
      <c r="AQ11">
        <f>AQ8-AQ10</f>
        <v>2224.132262771008</v>
      </c>
      <c r="AR11">
        <f>AR8-AR10</f>
        <v>2224.132262771008</v>
      </c>
      <c r="AS11">
        <f>AS8-AS10</f>
        <v>2049.159958378615</v>
      </c>
      <c r="AT11">
        <f>AT8-AT10</f>
        <v>2049.159958378615</v>
      </c>
      <c r="AU11">
        <f>AU8-AU10</f>
        <v>2080.9186550999807</v>
      </c>
      <c r="AV11">
        <f>AV8-AV10</f>
        <v>2080.9186550999807</v>
      </c>
      <c r="AW11">
        <f>AW8-AW10</f>
        <v>2113.16567167683</v>
      </c>
      <c r="AX11">
        <f>AX8-AX10</f>
        <v>2113.16567167683</v>
      </c>
      <c r="AY11">
        <f>AY8-AY10</f>
        <v>2145.908436589337</v>
      </c>
      <c r="AZ11">
        <f>AZ8-AZ10</f>
        <v>2145.908436589337</v>
      </c>
      <c r="BA11">
        <f>BA8-BA10</f>
        <v>2179.154489667638</v>
      </c>
      <c r="BB11">
        <f>BB8-BB10</f>
        <v>2179.154489667638</v>
      </c>
    </row>
    <row r="13">
      <c r="A13" t="inlineStr">
        <is>
          <t>Debt service capacity per period (CFADS_sizing/target DSCR)</t>
        </is>
      </c>
      <c r="C13" t="n">
        <v>0</v>
      </c>
      <c r="D13" t="n">
        <v>0</v>
      </c>
      <c r="E13">
        <f>E11/'Inputs'!$C$32</f>
        <v>1316.53515625</v>
      </c>
      <c r="F13">
        <f>F11/'Inputs'!$C$32</f>
        <v>1316.53515625</v>
      </c>
      <c r="G13">
        <f>G11/'Inputs'!$C$32</f>
        <v>1334.2736459375003</v>
      </c>
      <c r="H13">
        <f>H11/'Inputs'!$C$32</f>
        <v>1334.2736459375003</v>
      </c>
      <c r="I13">
        <f>I11/'Inputs'!$C$32</f>
        <v>1352.2848423808255</v>
      </c>
      <c r="J13">
        <f>J11/'Inputs'!$C$32</f>
        <v>1352.2848423808255</v>
      </c>
      <c r="K13">
        <f>K11/'Inputs'!$C$32</f>
        <v>1370.572893271528</v>
      </c>
      <c r="L13">
        <f>L11/'Inputs'!$C$32</f>
        <v>1370.572893271528</v>
      </c>
      <c r="M13">
        <f>M11/'Inputs'!$C$32</f>
        <v>1389.1420084564104</v>
      </c>
      <c r="N13">
        <f>N11/'Inputs'!$C$32</f>
        <v>1389.1420084564104</v>
      </c>
      <c r="O13">
        <f>O11/'Inputs'!$C$32</f>
        <v>1407.9964608495163</v>
      </c>
      <c r="P13">
        <f>P11/'Inputs'!$C$32</f>
        <v>1407.9964608495163</v>
      </c>
      <c r="Q13">
        <f>Q11/'Inputs'!$C$32</f>
        <v>1427.140587357091</v>
      </c>
      <c r="R13">
        <f>R11/'Inputs'!$C$32</f>
        <v>1427.140587357091</v>
      </c>
      <c r="S13">
        <f>S11/'Inputs'!$C$32</f>
        <v>1446.578789815682</v>
      </c>
      <c r="T13">
        <f>T11/'Inputs'!$C$32</f>
        <v>1446.578789815682</v>
      </c>
      <c r="U13">
        <f>U11/'Inputs'!$C$32</f>
        <v>1466.3155359435718</v>
      </c>
      <c r="V13">
        <f>V11/'Inputs'!$C$32</f>
        <v>1466.3155359435718</v>
      </c>
      <c r="W13">
        <f>W11/'Inputs'!$C$32</f>
        <v>1486.3553603056978</v>
      </c>
      <c r="X13">
        <f>X11/'Inputs'!$C$32</f>
        <v>1486.3553603056978</v>
      </c>
      <c r="Y13">
        <f>Y11/'Inputs'!$C$32</f>
        <v>1635.9356445804406</v>
      </c>
      <c r="Z13">
        <f>Z11/'Inputs'!$C$32</f>
        <v>1635.9356445804406</v>
      </c>
      <c r="AA13">
        <f>AA11/'Inputs'!$C$32</f>
        <v>1658.6528872456738</v>
      </c>
      <c r="AB13">
        <f>AB11/'Inputs'!$C$32</f>
        <v>1658.6528872456738</v>
      </c>
      <c r="AC13">
        <f>AC11/'Inputs'!$C$32</f>
        <v>1681.719976358208</v>
      </c>
      <c r="AD13">
        <f>AD11/'Inputs'!$C$32</f>
        <v>1681.719976358208</v>
      </c>
      <c r="AE13">
        <f>AE11/'Inputs'!$C$32</f>
        <v>1705.142245232365</v>
      </c>
      <c r="AF13">
        <f>AF11/'Inputs'!$C$32</f>
        <v>1705.142245232365</v>
      </c>
      <c r="AG13">
        <f>AG11/'Inputs'!$C$32</f>
        <v>1728.9251073640098</v>
      </c>
      <c r="AH13">
        <f>AH11/'Inputs'!$C$32</f>
        <v>1728.9251073640098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</row>
    <row r="14">
      <c r="A14" s="1" t="inlineStr">
        <is>
          <t>Sized senior debt (NPV of debt-service capacity)</t>
        </is>
      </c>
      <c r="C14" s="1">
        <f>NPV(('Inputs'!$C$30+'Inputs'!$C$31/10000)/2,E13:AH13)</f>
        <v>29620.914907042497</v>
      </c>
    </row>
    <row r="15">
      <c r="A15" t="inlineStr">
        <is>
          <t>Gearing cap amount</t>
        </is>
      </c>
      <c r="C15">
        <f>'Inputs'!$C$28*'CapEx'!$BD$11</f>
        <v>24750.0</v>
      </c>
    </row>
    <row r="16">
      <c r="A16" s="1" t="inlineStr">
        <is>
          <t>SENIOR DEBT (sized, capped at gearing)</t>
        </is>
      </c>
      <c r="C16" s="1">
        <f>MIN(C14,C15)</f>
        <v>24750.0</v>
      </c>
    </row>
    <row r="17">
      <c r="A17" t="inlineStr">
        <is>
          <t>Schedule rescale factor (gearing-cap senior debt / DSCR-sized debt, capped at 1)</t>
        </is>
      </c>
      <c r="C17">
        <f>IF(C14&gt;0,MIN(1,C16/C14),1)</f>
      </c>
    </row>
    <row r="18">
      <c r="A18" t="inlineStr">
        <is>
          <t>Rescaled debt service capacity (capacity x rescale factor)</t>
        </is>
      </c>
      <c r="C18" t="n">
        <v>0</v>
      </c>
      <c r="D18" t="n">
        <v>0</v>
      </c>
      <c r="E18">
        <f>E13*$C$17</f>
      </c>
      <c r="F18">
        <f>F13*$C$17</f>
      </c>
      <c r="G18">
        <f>G13*$C$17</f>
      </c>
      <c r="H18">
        <f>H13*$C$17</f>
      </c>
      <c r="I18">
        <f>I13*$C$17</f>
      </c>
      <c r="J18">
        <f>J13*$C$17</f>
      </c>
      <c r="K18">
        <f>K13*$C$17</f>
      </c>
      <c r="L18">
        <f>L13*$C$17</f>
      </c>
      <c r="M18">
        <f>M13*$C$17</f>
      </c>
      <c r="N18">
        <f>N13*$C$17</f>
      </c>
      <c r="O18">
        <f>O13*$C$17</f>
      </c>
      <c r="P18">
        <f>P13*$C$17</f>
      </c>
      <c r="Q18">
        <f>Q13*$C$17</f>
      </c>
      <c r="R18">
        <f>R13*$C$17</f>
      </c>
      <c r="S18">
        <f>S13*$C$17</f>
      </c>
      <c r="T18">
        <f>T13*$C$17</f>
      </c>
      <c r="U18">
        <f>U13*$C$17</f>
      </c>
      <c r="V18">
        <f>V13*$C$17</f>
      </c>
      <c r="W18">
        <f>W13*$C$17</f>
      </c>
      <c r="X18">
        <f>X13*$C$17</f>
      </c>
      <c r="Y18">
        <f>Y13*$C$17</f>
      </c>
      <c r="Z18">
        <f>Z13*$C$17</f>
      </c>
      <c r="AA18">
        <f>AA13*$C$17</f>
      </c>
      <c r="AB18">
        <f>AB13*$C$17</f>
      </c>
      <c r="AC18">
        <f>AC13*$C$17</f>
      </c>
      <c r="AD18">
        <f>AD13*$C$17</f>
      </c>
      <c r="AE18">
        <f>AE13*$C$17</f>
      </c>
      <c r="AF18">
        <f>AF13*$C$17</f>
      </c>
      <c r="AG18">
        <f>AG13*$C$17</f>
      </c>
      <c r="AH18">
        <f>AH13*$C$17</f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</row>
    <row r="19">
      <c r="A19" s="1" t="inlineStr">
        <is>
          <t>Amortization schedule</t>
        </is>
      </c>
    </row>
    <row r="20">
      <c r="A20" t="inlineStr">
        <is>
          <t>Opening balance (kEUR)</t>
        </is>
      </c>
      <c r="C20" t="n">
        <v>0</v>
      </c>
      <c r="D20" t="n">
        <v>0</v>
      </c>
      <c r="E20">
        <f>C16</f>
        <v>24750.0</v>
      </c>
      <c r="F20">
        <f>E24</f>
        <v>24114.08984375</v>
      </c>
      <c r="G20">
        <f>F24</f>
        <v>23460.692158203125</v>
      </c>
      <c r="H20">
        <f>G24</f>
        <v>22771.58754661621</v>
      </c>
      <c r="I20">
        <f>H24</f>
        <v>22063.532558210656</v>
      </c>
      <c r="J20">
        <f>I24</f>
        <v>21317.994861180625</v>
      </c>
      <c r="K20">
        <f>J24</f>
        <v>20551.954877482265</v>
      </c>
      <c r="L20">
        <f>K24</f>
        <v>19746.5607433415</v>
      </c>
      <c r="M20">
        <f>L24</f>
        <v>18919.01827051186</v>
      </c>
      <c r="N20">
        <f>M24</f>
        <v>18050.149264494525</v>
      </c>
      <c r="O20">
        <f>N24</f>
        <v>17157.386360811714</v>
      </c>
      <c r="P20">
        <f>O24</f>
        <v>16221.21802488452</v>
      </c>
      <c r="Q20">
        <f>P24</f>
        <v>15259.305059719329</v>
      </c>
      <c r="R20">
        <f>Q24</f>
        <v>14251.795361504519</v>
      </c>
      <c r="S20">
        <f>R24</f>
        <v>13216.579146588803</v>
      </c>
      <c r="T20">
        <f>S24</f>
        <v>12133.456283304313</v>
      </c>
      <c r="U20">
        <f>T24</f>
        <v>11020.547541279499</v>
      </c>
      <c r="V20">
        <f>U24</f>
        <v>9857.297062721113</v>
      </c>
      <c r="W20">
        <f>V24</f>
        <v>8662.057196002372</v>
      </c>
      <c r="X20">
        <f>W24</f>
        <v>7413.908408586739</v>
      </c>
      <c r="Y20">
        <f>X24</f>
        <v>6131.435529517176</v>
      </c>
      <c r="Z20">
        <f>Y24</f>
        <v>4664.114361998458</v>
      </c>
      <c r="AA20">
        <f>Z24</f>
        <v>3156.441862372975</v>
      </c>
      <c r="AB20">
        <f>AA24</f>
        <v>1584.5911263425578</v>
      </c>
      <c r="AC20">
        <f>AB24</f>
        <v>0.0</v>
      </c>
      <c r="AD20">
        <f>AC24</f>
        <v>0.0</v>
      </c>
      <c r="AE20">
        <f>AD24</f>
        <v>0.0</v>
      </c>
      <c r="AF20">
        <f>AE24</f>
        <v>0.0</v>
      </c>
      <c r="AG20">
        <f>AF24</f>
        <v>0.0</v>
      </c>
      <c r="AH20">
        <f>AG24</f>
        <v>0.0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</row>
    <row r="21">
      <c r="A21" t="inlineStr">
        <is>
          <t>Interest (kEUR)</t>
        </is>
      </c>
      <c r="C21" t="n">
        <v>0</v>
      </c>
      <c r="D21" t="n">
        <v>0</v>
      </c>
      <c r="E21">
        <f>E20*('Inputs'!$C$30+'Inputs'!$C$31/10000)/2</f>
        <v>680.625</v>
      </c>
      <c r="F21">
        <f>F20*('Inputs'!$C$30+'Inputs'!$C$31/10000)/2</f>
        <v>663.137470703125</v>
      </c>
      <c r="G21">
        <f>G20*('Inputs'!$C$30+'Inputs'!$C$31/10000)/2</f>
        <v>645.1690343505859</v>
      </c>
      <c r="H21">
        <f>H20*('Inputs'!$C$30+'Inputs'!$C$31/10000)/2</f>
        <v>626.2186575319458</v>
      </c>
      <c r="I21">
        <f>I20*('Inputs'!$C$30+'Inputs'!$C$31/10000)/2</f>
        <v>606.7471453507931</v>
      </c>
      <c r="J21">
        <f>J20*('Inputs'!$C$30+'Inputs'!$C$31/10000)/2</f>
        <v>586.2448586824672</v>
      </c>
      <c r="K21">
        <f>K20*('Inputs'!$C$30+'Inputs'!$C$31/10000)/2</f>
        <v>565.1787591307623</v>
      </c>
      <c r="L21">
        <f>L20*('Inputs'!$C$30+'Inputs'!$C$31/10000)/2</f>
        <v>543.0304204418912</v>
      </c>
      <c r="M21">
        <f>M20*('Inputs'!$C$30+'Inputs'!$C$31/10000)/2</f>
        <v>520.2730024390762</v>
      </c>
      <c r="N21">
        <f>N20*('Inputs'!$C$30+'Inputs'!$C$31/10000)/2</f>
        <v>496.3791047735994</v>
      </c>
      <c r="O21">
        <f>O20*('Inputs'!$C$30+'Inputs'!$C$31/10000)/2</f>
        <v>471.8281249223221</v>
      </c>
      <c r="P21">
        <f>P20*('Inputs'!$C$30+'Inputs'!$C$31/10000)/2</f>
        <v>446.0834956843243</v>
      </c>
      <c r="Q21">
        <f>Q20*('Inputs'!$C$30+'Inputs'!$C$31/10000)/2</f>
        <v>419.63088914228155</v>
      </c>
      <c r="R21">
        <f>R20*('Inputs'!$C$30+'Inputs'!$C$31/10000)/2</f>
        <v>391.92437244137426</v>
      </c>
      <c r="S21">
        <f>S20*('Inputs'!$C$30+'Inputs'!$C$31/10000)/2</f>
        <v>363.4559265311921</v>
      </c>
      <c r="T21">
        <f>T20*('Inputs'!$C$30+'Inputs'!$C$31/10000)/2</f>
        <v>333.6700477908686</v>
      </c>
      <c r="U21">
        <f>U20*('Inputs'!$C$30+'Inputs'!$C$31/10000)/2</f>
        <v>303.0650573851862</v>
      </c>
      <c r="V21">
        <f>V20*('Inputs'!$C$30+'Inputs'!$C$31/10000)/2</f>
        <v>271.0756692248306</v>
      </c>
      <c r="W21">
        <f>W20*('Inputs'!$C$30+'Inputs'!$C$31/10000)/2</f>
        <v>238.20657289006522</v>
      </c>
      <c r="X21">
        <f>X20*('Inputs'!$C$30+'Inputs'!$C$31/10000)/2</f>
        <v>203.88248123613533</v>
      </c>
      <c r="Y21">
        <f>Y20*('Inputs'!$C$30+'Inputs'!$C$31/10000)/2</f>
        <v>168.61447706172234</v>
      </c>
      <c r="Z21">
        <f>Z20*('Inputs'!$C$30+'Inputs'!$C$31/10000)/2</f>
        <v>128.2631449549576</v>
      </c>
      <c r="AA21">
        <f>AA20*('Inputs'!$C$30+'Inputs'!$C$31/10000)/2</f>
        <v>86.80215121525681</v>
      </c>
      <c r="AB21">
        <f>AB20*('Inputs'!$C$30+'Inputs'!$C$31/10000)/2</f>
        <v>43.57625597442034</v>
      </c>
      <c r="AC21">
        <f>AC20*('Inputs'!$C$30+'Inputs'!$C$31/10000)/2</f>
        <v>0.0</v>
      </c>
      <c r="AD21">
        <f>AD20*('Inputs'!$C$30+'Inputs'!$C$31/10000)/2</f>
        <v>0.0</v>
      </c>
      <c r="AE21">
        <f>AE20*('Inputs'!$C$30+'Inputs'!$C$31/10000)/2</f>
        <v>0.0</v>
      </c>
      <c r="AF21">
        <f>AF20*('Inputs'!$C$30+'Inputs'!$C$31/10000)/2</f>
        <v>0.0</v>
      </c>
      <c r="AG21">
        <f>AG20*('Inputs'!$C$30+'Inputs'!$C$31/10000)/2</f>
        <v>0.0</v>
      </c>
      <c r="AH21">
        <f>AH20*('Inputs'!$C$30+'Inputs'!$C$31/10000)/2</f>
        <v>0.0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</row>
    <row r="22">
      <c r="A22" t="inlineStr">
        <is>
          <t>Senior debt service (kEUR)</t>
        </is>
      </c>
      <c r="C22" t="n">
        <v>0</v>
      </c>
      <c r="D22" t="n">
        <v>0</v>
      </c>
      <c r="E22">
        <f>MIN(E18,E20+E21)</f>
      </c>
      <c r="F22">
        <f>MIN(F18,F20+F21)</f>
      </c>
      <c r="G22">
        <f>MIN(G18,G20+G21)</f>
      </c>
      <c r="H22">
        <f>MIN(H18,H20+H21)</f>
      </c>
      <c r="I22">
        <f>MIN(I18,I20+I21)</f>
      </c>
      <c r="J22">
        <f>MIN(J18,J20+J21)</f>
      </c>
      <c r="K22">
        <f>MIN(K18,K20+K21)</f>
      </c>
      <c r="L22">
        <f>MIN(L18,L20+L21)</f>
      </c>
      <c r="M22">
        <f>MIN(M18,M20+M21)</f>
      </c>
      <c r="N22">
        <f>MIN(N18,N20+N21)</f>
      </c>
      <c r="O22">
        <f>MIN(O18,O20+O21)</f>
      </c>
      <c r="P22">
        <f>MIN(P18,P20+P21)</f>
      </c>
      <c r="Q22">
        <f>MIN(Q18,Q20+Q21)</f>
      </c>
      <c r="R22">
        <f>MIN(R18,R20+R21)</f>
      </c>
      <c r="S22">
        <f>MIN(S18,S20+S21)</f>
      </c>
      <c r="T22">
        <f>MIN(T18,T20+T21)</f>
      </c>
      <c r="U22">
        <f>MIN(U18,U20+U21)</f>
      </c>
      <c r="V22">
        <f>MIN(V18,V20+V21)</f>
      </c>
      <c r="W22">
        <f>MIN(W18,W20+W21)</f>
      </c>
      <c r="X22">
        <f>MIN(X18,X20+X21)</f>
      </c>
      <c r="Y22">
        <f>MIN(Y18,Y20+Y21)</f>
      </c>
      <c r="Z22">
        <f>MIN(Z18,Z20+Z21)</f>
      </c>
      <c r="AA22">
        <f>MIN(AA18,AA20+AA21)</f>
      </c>
      <c r="AB22">
        <f>MIN(AB18,AB20+AB21)</f>
      </c>
      <c r="AC22">
        <f>MIN(AC18,AC20+AC21)</f>
      </c>
      <c r="AD22">
        <f>MIN(AD18,AD20+AD21)</f>
      </c>
      <c r="AE22">
        <f>MIN(AE18,AE20+AE21)</f>
      </c>
      <c r="AF22">
        <f>MIN(AF18,AF20+AF21)</f>
      </c>
      <c r="AG22">
        <f>MIN(AG18,AG20+AG21)</f>
      </c>
      <c r="AH22">
        <f>AH23+AH21</f>
        <v>0.0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</row>
    <row r="23">
      <c r="A23" t="inlineStr">
        <is>
          <t>Principal (kEUR)</t>
        </is>
      </c>
      <c r="C23" t="n">
        <v>0</v>
      </c>
      <c r="D23" t="n">
        <v>0</v>
      </c>
      <c r="E23">
        <f>E22-E21</f>
        <v>635.91015625</v>
      </c>
      <c r="F23">
        <f>F22-F21</f>
        <v>653.397685546875</v>
      </c>
      <c r="G23">
        <f>G22-G21</f>
        <v>689.1046115869144</v>
      </c>
      <c r="H23">
        <f>H22-H21</f>
        <v>708.0549884055545</v>
      </c>
      <c r="I23">
        <f>I22-I21</f>
        <v>745.5376970300324</v>
      </c>
      <c r="J23">
        <f>J22-J21</f>
        <v>766.0399836983582</v>
      </c>
      <c r="K23">
        <f>K22-K21</f>
        <v>805.3941341407658</v>
      </c>
      <c r="L23">
        <f>L22-L21</f>
        <v>827.5424728296368</v>
      </c>
      <c r="M23">
        <f>M22-M21</f>
        <v>868.8690060173342</v>
      </c>
      <c r="N23">
        <f>N22-N21</f>
        <v>892.7629036828109</v>
      </c>
      <c r="O23">
        <f>O22-O21</f>
        <v>936.1683359271942</v>
      </c>
      <c r="P23">
        <f>P22-P21</f>
        <v>961.912965165192</v>
      </c>
      <c r="Q23">
        <f>Q22-Q21</f>
        <v>1007.5096982148093</v>
      </c>
      <c r="R23">
        <f>R22-R21</f>
        <v>1035.2162149157166</v>
      </c>
      <c r="S23">
        <f>S22-S21</f>
        <v>1083.12286328449</v>
      </c>
      <c r="T23">
        <f>T22-T21</f>
        <v>1112.9087420248134</v>
      </c>
      <c r="U23">
        <f>U22-U21</f>
        <v>1163.2504785583856</v>
      </c>
      <c r="V23">
        <f>V22-V21</f>
        <v>1195.2398667187413</v>
      </c>
      <c r="W23">
        <f>W22-W21</f>
        <v>1248.1487874156326</v>
      </c>
      <c r="X23">
        <f>X22-X21</f>
        <v>1282.4728790695624</v>
      </c>
      <c r="Y23">
        <f>Y22-Y21</f>
        <v>1467.3211675187183</v>
      </c>
      <c r="Z23">
        <f>Z22-Z21</f>
        <v>1507.672499625483</v>
      </c>
      <c r="AA23">
        <f>AA22-AA21</f>
        <v>1571.850736030417</v>
      </c>
      <c r="AB23">
        <f>AB22-AB21</f>
        <v>1584.5911263425578</v>
      </c>
      <c r="AC23">
        <f>AC22-AC21</f>
        <v>0.0</v>
      </c>
      <c r="AD23">
        <f>AD22-AD21</f>
        <v>0.0</v>
      </c>
      <c r="AE23">
        <f>AE22-AE21</f>
        <v>0.0</v>
      </c>
      <c r="AF23">
        <f>AF22-AF21</f>
        <v>0.0</v>
      </c>
      <c r="AG23">
        <f>AG22-AG21</f>
        <v>0.0</v>
      </c>
      <c r="AH23">
        <f>AH20</f>
        <v>0.0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</row>
    <row r="24">
      <c r="A24" t="inlineStr">
        <is>
          <t>Closing balance (kEUR)</t>
        </is>
      </c>
      <c r="C24" t="n">
        <v>0</v>
      </c>
      <c r="D24" t="n">
        <v>0</v>
      </c>
      <c r="E24">
        <f>E20-E23</f>
        <v>24114.08984375</v>
      </c>
      <c r="F24">
        <f>F20-F23</f>
        <v>23460.692158203125</v>
      </c>
      <c r="G24">
        <f>G20-G23</f>
        <v>22771.58754661621</v>
      </c>
      <c r="H24">
        <f>H20-H23</f>
        <v>22063.532558210656</v>
      </c>
      <c r="I24">
        <f>I20-I23</f>
        <v>21317.994861180625</v>
      </c>
      <c r="J24">
        <f>J20-J23</f>
        <v>20551.954877482265</v>
      </c>
      <c r="K24">
        <f>K20-K23</f>
        <v>19746.5607433415</v>
      </c>
      <c r="L24">
        <f>L20-L23</f>
        <v>18919.01827051186</v>
      </c>
      <c r="M24">
        <f>M20-M23</f>
        <v>18050.149264494525</v>
      </c>
      <c r="N24">
        <f>N20-N23</f>
        <v>17157.386360811714</v>
      </c>
      <c r="O24">
        <f>O20-O23</f>
        <v>16221.21802488452</v>
      </c>
      <c r="P24">
        <f>P20-P23</f>
        <v>15259.305059719329</v>
      </c>
      <c r="Q24">
        <f>Q20-Q23</f>
        <v>14251.795361504519</v>
      </c>
      <c r="R24">
        <f>R20-R23</f>
        <v>13216.579146588803</v>
      </c>
      <c r="S24">
        <f>S20-S23</f>
        <v>12133.456283304313</v>
      </c>
      <c r="T24">
        <f>T20-T23</f>
        <v>11020.547541279499</v>
      </c>
      <c r="U24">
        <f>U20-U23</f>
        <v>9857.297062721113</v>
      </c>
      <c r="V24">
        <f>V20-V23</f>
        <v>8662.057196002372</v>
      </c>
      <c r="W24">
        <f>W20-W23</f>
        <v>7413.908408586739</v>
      </c>
      <c r="X24">
        <f>X20-X23</f>
        <v>6131.435529517176</v>
      </c>
      <c r="Y24">
        <f>Y20-Y23</f>
        <v>4664.114361998458</v>
      </c>
      <c r="Z24">
        <f>Z20-Z23</f>
        <v>3156.441862372975</v>
      </c>
      <c r="AA24">
        <f>AA20-AA23</f>
        <v>1584.5911263425578</v>
      </c>
      <c r="AB24">
        <f>AB20-AB23</f>
        <v>0.0</v>
      </c>
      <c r="AC24">
        <f>AC20-AC23</f>
        <v>0.0</v>
      </c>
      <c r="AD24">
        <f>AD20-AD23</f>
        <v>0.0</v>
      </c>
      <c r="AE24">
        <f>AE20-AE23</f>
        <v>0.0</v>
      </c>
      <c r="AF24">
        <f>AF20-AF23</f>
        <v>0.0</v>
      </c>
      <c r="AG24">
        <f>AG20-AG23</f>
        <v>0.0</v>
      </c>
      <c r="AH24">
        <f>AH20-AH23</f>
        <v>0.0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</row>
    <row r="25">
      <c r="A25" t="inlineStr">
        <is>
          <t>DSCR (sizing proxy)</t>
        </is>
      </c>
      <c r="C25" t="inlineStr">
        <is>
          <t>n/a</t>
        </is>
      </c>
      <c r="D25" t="inlineStr">
        <is>
          <t>n/a</t>
        </is>
      </c>
      <c r="E25">
        <f>IF(E22=0,"n/a",E11/E22)</f>
        <v>1.2</v>
      </c>
      <c r="F25">
        <f>IF(F22=0,"n/a",F11/F22)</f>
        <v>1.2</v>
      </c>
      <c r="G25">
        <f>IF(G22=0,"n/a",G11/G22)</f>
        <v>1.2</v>
      </c>
      <c r="H25">
        <f>IF(H22=0,"n/a",H11/H22)</f>
        <v>1.2</v>
      </c>
      <c r="I25">
        <f>IF(I22=0,"n/a",I11/I22)</f>
        <v>1.2</v>
      </c>
      <c r="J25">
        <f>IF(J22=0,"n/a",J11/J22)</f>
        <v>1.2</v>
      </c>
      <c r="K25">
        <f>IF(K22=0,"n/a",K11/K22)</f>
        <v>1.2</v>
      </c>
      <c r="L25">
        <f>IF(L22=0,"n/a",L11/L22)</f>
        <v>1.2</v>
      </c>
      <c r="M25">
        <f>IF(M22=0,"n/a",M11/M22)</f>
        <v>1.2</v>
      </c>
      <c r="N25">
        <f>IF(N22=0,"n/a",N11/N22)</f>
        <v>1.2</v>
      </c>
      <c r="O25">
        <f>IF(O22=0,"n/a",O11/O22)</f>
        <v>1.2</v>
      </c>
      <c r="P25">
        <f>IF(P22=0,"n/a",P11/P22)</f>
        <v>1.2</v>
      </c>
      <c r="Q25">
        <f>IF(Q22=0,"n/a",Q11/Q22)</f>
        <v>1.2</v>
      </c>
      <c r="R25">
        <f>IF(R22=0,"n/a",R11/R22)</f>
        <v>1.2</v>
      </c>
      <c r="S25">
        <f>IF(S22=0,"n/a",S11/S22)</f>
        <v>1.2</v>
      </c>
      <c r="T25">
        <f>IF(T22=0,"n/a",T11/T22)</f>
        <v>1.2</v>
      </c>
      <c r="U25">
        <f>IF(U22=0,"n/a",U11/U22)</f>
        <v>1.2</v>
      </c>
      <c r="V25">
        <f>IF(V22=0,"n/a",V11/V22)</f>
        <v>1.2</v>
      </c>
      <c r="W25">
        <f>IF(W22=0,"n/a",W11/W22)</f>
        <v>1.2</v>
      </c>
      <c r="X25">
        <f>IF(X22=0,"n/a",X11/X22)</f>
        <v>1.2</v>
      </c>
      <c r="Y25">
        <f>IF(Y22=0,"n/a",Y11/Y22)</f>
        <v>1.2</v>
      </c>
      <c r="Z25">
        <f>IF(Z22=0,"n/a",Z11/Z22)</f>
        <v>1.2</v>
      </c>
      <c r="AA25">
        <f>IF(AA22=0,"n/a",AA11/AA22)</f>
        <v>1.2</v>
      </c>
      <c r="AB25">
        <f>IF(AB22=0,"n/a",AB11/AB22)</f>
        <v>1.2224685780539195</v>
      </c>
      <c r="AC25" t="str">
        <f>IF(AC22=0,"n/a",AC11/AC22)</f>
        <v>n/a</v>
      </c>
      <c r="AD25" t="str">
        <f>IF(AD22=0,"n/a",AD11/AD22)</f>
        <v>n/a</v>
      </c>
      <c r="AE25" t="str">
        <f>IF(AE22=0,"n/a",AE11/AE22)</f>
        <v>n/a</v>
      </c>
      <c r="AF25" t="str">
        <f>IF(AF22=0,"n/a",AF11/AF22)</f>
        <v>n/a</v>
      </c>
      <c r="AG25" t="str">
        <f>IF(AG22=0,"n/a",AG11/AG22)</f>
        <v>n/a</v>
      </c>
      <c r="AH25" t="str">
        <f>IF(AH22=0,"n/a",AH11/AH22)</f>
        <v>n/a</v>
      </c>
      <c r="AI25" t="inlineStr">
        <is>
          <t>n/a</t>
        </is>
      </c>
      <c r="AJ25" t="inlineStr">
        <is>
          <t>n/a</t>
        </is>
      </c>
      <c r="AK25" t="inlineStr">
        <is>
          <t>n/a</t>
        </is>
      </c>
      <c r="AL25" t="inlineStr">
        <is>
          <t>n/a</t>
        </is>
      </c>
      <c r="AM25" t="inlineStr">
        <is>
          <t>n/a</t>
        </is>
      </c>
      <c r="AN25" t="inlineStr">
        <is>
          <t>n/a</t>
        </is>
      </c>
      <c r="AO25" t="inlineStr">
        <is>
          <t>n/a</t>
        </is>
      </c>
      <c r="AP25" t="inlineStr">
        <is>
          <t>n/a</t>
        </is>
      </c>
      <c r="AQ25" t="inlineStr">
        <is>
          <t>n/a</t>
        </is>
      </c>
      <c r="AR25" t="inlineStr">
        <is>
          <t>n/a</t>
        </is>
      </c>
      <c r="AS25" t="inlineStr">
        <is>
          <t>n/a</t>
        </is>
      </c>
      <c r="AT25" t="inlineStr">
        <is>
          <t>n/a</t>
        </is>
      </c>
      <c r="AU25" t="inlineStr">
        <is>
          <t>n/a</t>
        </is>
      </c>
      <c r="AV25" t="inlineStr">
        <is>
          <t>n/a</t>
        </is>
      </c>
      <c r="AW25" t="inlineStr">
        <is>
          <t>n/a</t>
        </is>
      </c>
      <c r="AX25" t="inlineStr">
        <is>
          <t>n/a</t>
        </is>
      </c>
      <c r="AY25" t="inlineStr">
        <is>
          <t>n/a</t>
        </is>
      </c>
      <c r="AZ25" t="inlineStr">
        <is>
          <t>n/a</t>
        </is>
      </c>
      <c r="BA25" t="inlineStr">
        <is>
          <t>n/a</t>
        </is>
      </c>
      <c r="BB25" t="inlineStr">
        <is>
          <t>n/a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1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</cols>
  <sheetData>
    <row r="1">
      <c r="A1" s="1" t="inlineStr">
        <is>
          <t>Generic Solar PV — P&amp;L</t>
        </is>
      </c>
    </row>
    <row r="3">
      <c r="A3" t="inlineStr">
        <is>
          <t>Period</t>
        </is>
      </c>
      <c r="C3" s="1" t="inlineStr">
        <is>
          <t>P1</t>
        </is>
      </c>
      <c r="D3" s="1" t="inlineStr">
        <is>
          <t>P2</t>
        </is>
      </c>
      <c r="E3" s="1" t="inlineStr">
        <is>
          <t>P3</t>
        </is>
      </c>
      <c r="F3" s="1" t="inlineStr">
        <is>
          <t>P4</t>
        </is>
      </c>
      <c r="G3" s="1" t="inlineStr">
        <is>
          <t>P5</t>
        </is>
      </c>
      <c r="H3" s="1" t="inlineStr">
        <is>
          <t>P6</t>
        </is>
      </c>
      <c r="I3" s="1" t="inlineStr">
        <is>
          <t>P7</t>
        </is>
      </c>
      <c r="J3" s="1" t="inlineStr">
        <is>
          <t>P8</t>
        </is>
      </c>
      <c r="K3" s="1" t="inlineStr">
        <is>
          <t>P9</t>
        </is>
      </c>
      <c r="L3" s="1" t="inlineStr">
        <is>
          <t>P10</t>
        </is>
      </c>
      <c r="M3" s="1" t="inlineStr">
        <is>
          <t>P11</t>
        </is>
      </c>
      <c r="N3" s="1" t="inlineStr">
        <is>
          <t>P12</t>
        </is>
      </c>
      <c r="O3" s="1" t="inlineStr">
        <is>
          <t>P13</t>
        </is>
      </c>
      <c r="P3" s="1" t="inlineStr">
        <is>
          <t>P14</t>
        </is>
      </c>
      <c r="Q3" s="1" t="inlineStr">
        <is>
          <t>P15</t>
        </is>
      </c>
      <c r="R3" s="1" t="inlineStr">
        <is>
          <t>P16</t>
        </is>
      </c>
      <c r="S3" s="1" t="inlineStr">
        <is>
          <t>P17</t>
        </is>
      </c>
      <c r="T3" s="1" t="inlineStr">
        <is>
          <t>P18</t>
        </is>
      </c>
      <c r="U3" s="1" t="inlineStr">
        <is>
          <t>P19</t>
        </is>
      </c>
      <c r="V3" s="1" t="inlineStr">
        <is>
          <t>P20</t>
        </is>
      </c>
      <c r="W3" s="1" t="inlineStr">
        <is>
          <t>P21</t>
        </is>
      </c>
      <c r="X3" s="1" t="inlineStr">
        <is>
          <t>P22</t>
        </is>
      </c>
      <c r="Y3" s="1" t="inlineStr">
        <is>
          <t>P23</t>
        </is>
      </c>
      <c r="Z3" s="1" t="inlineStr">
        <is>
          <t>P24</t>
        </is>
      </c>
      <c r="AA3" s="1" t="inlineStr">
        <is>
          <t>P25</t>
        </is>
      </c>
      <c r="AB3" s="1" t="inlineStr">
        <is>
          <t>P26</t>
        </is>
      </c>
      <c r="AC3" s="1" t="inlineStr">
        <is>
          <t>P27</t>
        </is>
      </c>
      <c r="AD3" s="1" t="inlineStr">
        <is>
          <t>P28</t>
        </is>
      </c>
      <c r="AE3" s="1" t="inlineStr">
        <is>
          <t>P29</t>
        </is>
      </c>
      <c r="AF3" s="1" t="inlineStr">
        <is>
          <t>P30</t>
        </is>
      </c>
      <c r="AG3" s="1" t="inlineStr">
        <is>
          <t>P31</t>
        </is>
      </c>
      <c r="AH3" s="1" t="inlineStr">
        <is>
          <t>P32</t>
        </is>
      </c>
      <c r="AI3" s="1" t="inlineStr">
        <is>
          <t>P33</t>
        </is>
      </c>
      <c r="AJ3" s="1" t="inlineStr">
        <is>
          <t>P34</t>
        </is>
      </c>
      <c r="AK3" s="1" t="inlineStr">
        <is>
          <t>P35</t>
        </is>
      </c>
      <c r="AL3" s="1" t="inlineStr">
        <is>
          <t>P36</t>
        </is>
      </c>
      <c r="AM3" s="1" t="inlineStr">
        <is>
          <t>P37</t>
        </is>
      </c>
      <c r="AN3" s="1" t="inlineStr">
        <is>
          <t>P38</t>
        </is>
      </c>
      <c r="AO3" s="1" t="inlineStr">
        <is>
          <t>P39</t>
        </is>
      </c>
      <c r="AP3" s="1" t="inlineStr">
        <is>
          <t>P40</t>
        </is>
      </c>
      <c r="AQ3" s="1" t="inlineStr">
        <is>
          <t>P41</t>
        </is>
      </c>
      <c r="AR3" s="1" t="inlineStr">
        <is>
          <t>P42</t>
        </is>
      </c>
      <c r="AS3" s="1" t="inlineStr">
        <is>
          <t>P43</t>
        </is>
      </c>
      <c r="AT3" s="1" t="inlineStr">
        <is>
          <t>P44</t>
        </is>
      </c>
      <c r="AU3" s="1" t="inlineStr">
        <is>
          <t>P45</t>
        </is>
      </c>
      <c r="AV3" s="1" t="inlineStr">
        <is>
          <t>P46</t>
        </is>
      </c>
      <c r="AW3" s="1" t="inlineStr">
        <is>
          <t>P47</t>
        </is>
      </c>
      <c r="AX3" s="1" t="inlineStr">
        <is>
          <t>P48</t>
        </is>
      </c>
      <c r="AY3" s="1" t="inlineStr">
        <is>
          <t>P49</t>
        </is>
      </c>
      <c r="AZ3" s="1" t="inlineStr">
        <is>
          <t>P50</t>
        </is>
      </c>
      <c r="BA3" s="1" t="inlineStr">
        <is>
          <t>P51</t>
        </is>
      </c>
      <c r="BB3" s="1" t="inlineStr">
        <is>
          <t>P52</t>
        </is>
      </c>
    </row>
    <row r="5">
      <c r="A5" t="inlineStr">
        <is>
          <t>Revenue</t>
        </is>
      </c>
      <c r="C5">
        <f>'Revenue'!C13</f>
        <v>0.0</v>
      </c>
      <c r="D5">
        <f>'Revenue'!D13</f>
        <v>0.0</v>
      </c>
      <c r="E5">
        <f>'Revenue'!E13</f>
        <v>2021.45625</v>
      </c>
      <c r="F5">
        <f>'Revenue'!F13</f>
        <v>2021.45625</v>
      </c>
      <c r="G5">
        <f>'Revenue'!G13</f>
        <v>2053.6378335000004</v>
      </c>
      <c r="H5">
        <f>'Revenue'!H13</f>
        <v>2053.6378335000004</v>
      </c>
      <c r="I5">
        <f>'Revenue'!I13</f>
        <v>2086.3317478093204</v>
      </c>
      <c r="J5">
        <f>'Revenue'!J13</f>
        <v>2086.3317478093204</v>
      </c>
      <c r="K5">
        <f>'Revenue'!K13</f>
        <v>2119.546149234445</v>
      </c>
      <c r="L5">
        <f>'Revenue'!L13</f>
        <v>2119.546149234445</v>
      </c>
      <c r="M5">
        <f>'Revenue'!M13</f>
        <v>2153.2893239302566</v>
      </c>
      <c r="N5">
        <f>'Revenue'!N13</f>
        <v>2153.2893239302566</v>
      </c>
      <c r="O5">
        <f>'Revenue'!O13</f>
        <v>2187.569689967226</v>
      </c>
      <c r="P5">
        <f>'Revenue'!P13</f>
        <v>2187.569689967226</v>
      </c>
      <c r="Q5">
        <f>'Revenue'!Q13</f>
        <v>2222.395799431505</v>
      </c>
      <c r="R5">
        <f>'Revenue'!R13</f>
        <v>2222.395799431505</v>
      </c>
      <c r="S5">
        <f>'Revenue'!S13</f>
        <v>2257.776340558454</v>
      </c>
      <c r="T5">
        <f>'Revenue'!T13</f>
        <v>2257.776340558454</v>
      </c>
      <c r="U5">
        <f>'Revenue'!U13</f>
        <v>2293.720139900145</v>
      </c>
      <c r="V5">
        <f>'Revenue'!V13</f>
        <v>2293.720139900145</v>
      </c>
      <c r="W5">
        <f>'Revenue'!W13</f>
        <v>2330.2361645273554</v>
      </c>
      <c r="X5">
        <f>'Revenue'!X13</f>
        <v>2330.2361645273554</v>
      </c>
      <c r="Y5">
        <f>'Revenue'!Y13</f>
        <v>2574.105971127709</v>
      </c>
      <c r="Z5">
        <f>'Revenue'!Z13</f>
        <v>2574.105971127709</v>
      </c>
      <c r="AA5">
        <f>'Revenue'!AA13</f>
        <v>2615.085738188062</v>
      </c>
      <c r="AB5">
        <f>'Revenue'!AB13</f>
        <v>2615.085738188062</v>
      </c>
      <c r="AC5">
        <f>'Revenue'!AC13</f>
        <v>2656.7179031400165</v>
      </c>
      <c r="AD5">
        <f>'Revenue'!AD13</f>
        <v>2656.7179031400165</v>
      </c>
      <c r="AE5">
        <f>'Revenue'!AE13</f>
        <v>2699.0128521580054</v>
      </c>
      <c r="AF5">
        <f>'Revenue'!AF13</f>
        <v>2699.0128521580054</v>
      </c>
      <c r="AG5">
        <f>'Revenue'!AG13</f>
        <v>2741.981136764361</v>
      </c>
      <c r="AH5">
        <f>'Revenue'!AH13</f>
        <v>2741.981136764361</v>
      </c>
      <c r="AI5">
        <f>'Revenue'!AI13</f>
        <v>2785.6334764616495</v>
      </c>
      <c r="AJ5">
        <f>'Revenue'!AJ13</f>
        <v>2785.6334764616495</v>
      </c>
      <c r="AK5">
        <f>'Revenue'!AK13</f>
        <v>2829.980761406919</v>
      </c>
      <c r="AL5">
        <f>'Revenue'!AL13</f>
        <v>2829.980761406919</v>
      </c>
      <c r="AM5">
        <f>'Revenue'!AM13</f>
        <v>2875.0340551285176</v>
      </c>
      <c r="AN5">
        <f>'Revenue'!AN13</f>
        <v>2875.0340551285176</v>
      </c>
      <c r="AO5">
        <f>'Revenue'!AO13</f>
        <v>2920.804597286163</v>
      </c>
      <c r="AP5">
        <f>'Revenue'!AP13</f>
        <v>2920.804597286163</v>
      </c>
      <c r="AQ5">
        <f>'Revenue'!AQ13</f>
        <v>2967.303806474959</v>
      </c>
      <c r="AR5">
        <f>'Revenue'!AR13</f>
        <v>2967.303806474959</v>
      </c>
      <c r="AS5">
        <f>'Revenue'!AS13</f>
        <v>3014.5432830740406</v>
      </c>
      <c r="AT5">
        <f>'Revenue'!AT13</f>
        <v>3014.5432830740406</v>
      </c>
      <c r="AU5">
        <f>'Revenue'!AU13</f>
        <v>3062.5348121405796</v>
      </c>
      <c r="AV5">
        <f>'Revenue'!AV13</f>
        <v>3062.5348121405796</v>
      </c>
      <c r="AW5">
        <f>'Revenue'!AW13</f>
        <v>3111.290366349857</v>
      </c>
      <c r="AX5">
        <f>'Revenue'!AX13</f>
        <v>3111.290366349857</v>
      </c>
      <c r="AY5">
        <f>'Revenue'!AY13</f>
        <v>3160.8221089821477</v>
      </c>
      <c r="AZ5">
        <f>'Revenue'!AZ13</f>
        <v>3160.8221089821477</v>
      </c>
      <c r="BA5">
        <f>'Revenue'!BA13</f>
        <v>3211.1423969571433</v>
      </c>
      <c r="BB5">
        <f>'Revenue'!BB13</f>
        <v>3211.1423969571433</v>
      </c>
    </row>
    <row r="6">
      <c r="A6" t="inlineStr">
        <is>
          <t>OpEx</t>
        </is>
      </c>
      <c r="C6">
        <f>'OpEx'!C10</f>
        <v>0.0</v>
      </c>
      <c r="D6">
        <f>'OpEx'!D10</f>
        <v>0.0</v>
      </c>
      <c r="E6">
        <f>'OpEx'!E10</f>
        <v>190.0</v>
      </c>
      <c r="F6">
        <f>'OpEx'!F10</f>
        <v>190.0</v>
      </c>
      <c r="G6">
        <f>'OpEx'!G10</f>
        <v>193.8</v>
      </c>
      <c r="H6">
        <f>'OpEx'!H10</f>
        <v>193.8</v>
      </c>
      <c r="I6">
        <f>'OpEx'!I10</f>
        <v>197.676</v>
      </c>
      <c r="J6">
        <f>'OpEx'!J10</f>
        <v>197.676</v>
      </c>
      <c r="K6">
        <f>'OpEx'!K10</f>
        <v>201.62952000000004</v>
      </c>
      <c r="L6">
        <f>'OpEx'!L10</f>
        <v>201.62952000000004</v>
      </c>
      <c r="M6">
        <f>'OpEx'!M10</f>
        <v>205.6621104</v>
      </c>
      <c r="N6">
        <f>'OpEx'!N10</f>
        <v>205.6621104</v>
      </c>
      <c r="O6">
        <f>'OpEx'!O10</f>
        <v>209.775352608</v>
      </c>
      <c r="P6">
        <f>'OpEx'!P10</f>
        <v>209.775352608</v>
      </c>
      <c r="Q6">
        <f>'OpEx'!Q10</f>
        <v>213.97085966016002</v>
      </c>
      <c r="R6">
        <f>'OpEx'!R10</f>
        <v>213.97085966016002</v>
      </c>
      <c r="S6">
        <f>'OpEx'!S10</f>
        <v>218.2502768533632</v>
      </c>
      <c r="T6">
        <f>'OpEx'!T10</f>
        <v>218.2502768533632</v>
      </c>
      <c r="U6">
        <f>'OpEx'!U10</f>
        <v>222.61528239043048</v>
      </c>
      <c r="V6">
        <f>'OpEx'!V10</f>
        <v>222.61528239043048</v>
      </c>
      <c r="W6">
        <f>'OpEx'!W10</f>
        <v>227.0675880382391</v>
      </c>
      <c r="X6">
        <f>'OpEx'!X10</f>
        <v>227.0675880382391</v>
      </c>
      <c r="Y6">
        <f>'OpEx'!Y10</f>
        <v>231.60893979900388</v>
      </c>
      <c r="Z6">
        <f>'OpEx'!Z10</f>
        <v>231.60893979900388</v>
      </c>
      <c r="AA6">
        <f>'OpEx'!AA10</f>
        <v>236.24111859498396</v>
      </c>
      <c r="AB6">
        <f>'OpEx'!AB10</f>
        <v>236.24111859498396</v>
      </c>
      <c r="AC6">
        <f>'OpEx'!AC10</f>
        <v>240.96594096688364</v>
      </c>
      <c r="AD6">
        <f>'OpEx'!AD10</f>
        <v>240.96594096688364</v>
      </c>
      <c r="AE6">
        <f>'OpEx'!AE10</f>
        <v>245.78525978622136</v>
      </c>
      <c r="AF6">
        <f>'OpEx'!AF10</f>
        <v>245.78525978622136</v>
      </c>
      <c r="AG6">
        <f>'OpEx'!AG10</f>
        <v>250.7009649819458</v>
      </c>
      <c r="AH6">
        <f>'OpEx'!AH10</f>
        <v>250.7009649819458</v>
      </c>
      <c r="AI6">
        <f>'OpEx'!AI10</f>
        <v>255.7149842815847</v>
      </c>
      <c r="AJ6">
        <f>'OpEx'!AJ10</f>
        <v>255.7149842815847</v>
      </c>
      <c r="AK6">
        <f>'OpEx'!AK10</f>
        <v>260.8292839672163</v>
      </c>
      <c r="AL6">
        <f>'OpEx'!AL10</f>
        <v>260.8292839672163</v>
      </c>
      <c r="AM6">
        <f>'OpEx'!AM10</f>
        <v>266.04586964656073</v>
      </c>
      <c r="AN6">
        <f>'OpEx'!AN10</f>
        <v>266.04586964656073</v>
      </c>
      <c r="AO6">
        <f>'OpEx'!AO10</f>
        <v>271.36678703949195</v>
      </c>
      <c r="AP6">
        <f>'OpEx'!AP10</f>
        <v>271.36678703949195</v>
      </c>
      <c r="AQ6">
        <f>'OpEx'!AQ10</f>
        <v>276.7941227802817</v>
      </c>
      <c r="AR6">
        <f>'OpEx'!AR10</f>
        <v>276.7941227802817</v>
      </c>
      <c r="AS6">
        <f>'OpEx'!AS10</f>
        <v>282.3300052358874</v>
      </c>
      <c r="AT6">
        <f>'OpEx'!AT10</f>
        <v>282.3300052358874</v>
      </c>
      <c r="AU6">
        <f>'OpEx'!AU10</f>
        <v>287.97660534060515</v>
      </c>
      <c r="AV6">
        <f>'OpEx'!AV10</f>
        <v>287.97660534060515</v>
      </c>
      <c r="AW6">
        <f>'OpEx'!AW10</f>
        <v>293.7361374474173</v>
      </c>
      <c r="AX6">
        <f>'OpEx'!AX10</f>
        <v>293.7361374474173</v>
      </c>
      <c r="AY6">
        <f>'OpEx'!AY10</f>
        <v>299.61086019636565</v>
      </c>
      <c r="AZ6">
        <f>'OpEx'!AZ10</f>
        <v>299.61086019636565</v>
      </c>
      <c r="BA6">
        <f>'OpEx'!BA10</f>
        <v>305.60307740029293</v>
      </c>
      <c r="BB6">
        <f>'OpEx'!BB10</f>
        <v>305.60307740029293</v>
      </c>
    </row>
    <row r="7">
      <c r="A7" s="1" t="inlineStr">
        <is>
          <t>EBITDA</t>
        </is>
      </c>
      <c r="C7" s="1">
        <f>C5-C6</f>
        <v>0.0</v>
      </c>
      <c r="D7" s="1">
        <f>D5-D6</f>
        <v>0.0</v>
      </c>
      <c r="E7" s="1">
        <f>E5-E6</f>
        <v>1831.45625</v>
      </c>
      <c r="F7" s="1">
        <f>F5-F6</f>
        <v>1831.45625</v>
      </c>
      <c r="G7" s="1">
        <f>G5-G6</f>
        <v>1859.8378335000004</v>
      </c>
      <c r="H7" s="1">
        <f>H5-H6</f>
        <v>1859.8378335000004</v>
      </c>
      <c r="I7" s="1">
        <f>I5-I6</f>
        <v>1888.6557478093205</v>
      </c>
      <c r="J7" s="1">
        <f>J5-J6</f>
        <v>1888.6557478093205</v>
      </c>
      <c r="K7" s="1">
        <f>K5-K6</f>
        <v>1917.9166292344448</v>
      </c>
      <c r="L7" s="1">
        <f>L5-L6</f>
        <v>1917.9166292344448</v>
      </c>
      <c r="M7" s="1">
        <f>M5-M6</f>
        <v>1947.6272135302565</v>
      </c>
      <c r="N7" s="1">
        <f>N5-N6</f>
        <v>1947.6272135302565</v>
      </c>
      <c r="O7" s="1">
        <f>O5-O6</f>
        <v>1977.7943373592261</v>
      </c>
      <c r="P7" s="1">
        <f>P5-P6</f>
        <v>1977.7943373592261</v>
      </c>
      <c r="Q7" s="1">
        <f>Q5-Q6</f>
        <v>2008.4249397713452</v>
      </c>
      <c r="R7" s="1">
        <f>R5-R6</f>
        <v>2008.4249397713452</v>
      </c>
      <c r="S7" s="1">
        <f>S5-S6</f>
        <v>2039.526063705091</v>
      </c>
      <c r="T7" s="1">
        <f>T5-T6</f>
        <v>2039.526063705091</v>
      </c>
      <c r="U7" s="1">
        <f>U5-U6</f>
        <v>2071.1048575097147</v>
      </c>
      <c r="V7" s="1">
        <f>V5-V6</f>
        <v>2071.1048575097147</v>
      </c>
      <c r="W7" s="1">
        <f>W5-W6</f>
        <v>2103.1685764891163</v>
      </c>
      <c r="X7" s="1">
        <f>X5-X6</f>
        <v>2103.1685764891163</v>
      </c>
      <c r="Y7" s="1">
        <f>Y5-Y6</f>
        <v>2342.497031328705</v>
      </c>
      <c r="Z7" s="1">
        <f>Z5-Z6</f>
        <v>2342.497031328705</v>
      </c>
      <c r="AA7" s="1">
        <f>AA5-AA6</f>
        <v>2378.844619593078</v>
      </c>
      <c r="AB7" s="1">
        <f>AB5-AB6</f>
        <v>2378.844619593078</v>
      </c>
      <c r="AC7" s="1">
        <f>AC5-AC6</f>
        <v>2415.7519621731326</v>
      </c>
      <c r="AD7" s="1">
        <f>AD5-AD6</f>
        <v>2415.7519621731326</v>
      </c>
      <c r="AE7" s="1">
        <f>AE5-AE6</f>
        <v>2453.227592371784</v>
      </c>
      <c r="AF7" s="1">
        <f>AF5-AF6</f>
        <v>2453.227592371784</v>
      </c>
      <c r="AG7" s="1">
        <f>AG5-AG6</f>
        <v>2491.2801717824154</v>
      </c>
      <c r="AH7" s="1">
        <f>AH5-AH6</f>
        <v>2491.2801717824154</v>
      </c>
      <c r="AI7" s="1">
        <f>AI5-AI6</f>
        <v>2529.9184921800647</v>
      </c>
      <c r="AJ7" s="1">
        <f>AJ5-AJ6</f>
        <v>2529.9184921800647</v>
      </c>
      <c r="AK7" s="1">
        <f>AK5-AK6</f>
        <v>2569.151477439703</v>
      </c>
      <c r="AL7" s="1">
        <f>AL5-AL6</f>
        <v>2569.151477439703</v>
      </c>
      <c r="AM7" s="1">
        <f>AM5-AM6</f>
        <v>2608.988185481957</v>
      </c>
      <c r="AN7" s="1">
        <f>AN5-AN6</f>
        <v>2608.988185481957</v>
      </c>
      <c r="AO7" s="1">
        <f>AO5-AO6</f>
        <v>2649.437810246671</v>
      </c>
      <c r="AP7" s="1">
        <f>AP5-AP6</f>
        <v>2649.437810246671</v>
      </c>
      <c r="AQ7" s="1">
        <f>AQ5-AQ6</f>
        <v>2690.5096836946773</v>
      </c>
      <c r="AR7" s="1">
        <f>AR5-AR6</f>
        <v>2690.5096836946773</v>
      </c>
      <c r="AS7" s="1">
        <f>AS5-AS6</f>
        <v>2732.2132778381533</v>
      </c>
      <c r="AT7" s="1">
        <f>AT5-AT6</f>
        <v>2732.2132778381533</v>
      </c>
      <c r="AU7" s="1">
        <f>AU5-AU6</f>
        <v>2774.5582067999744</v>
      </c>
      <c r="AV7" s="1">
        <f>AV5-AV6</f>
        <v>2774.5582067999744</v>
      </c>
      <c r="AW7" s="1">
        <f>AW5-AW6</f>
        <v>2817.5542289024397</v>
      </c>
      <c r="AX7" s="1">
        <f>AX5-AX6</f>
        <v>2817.5542289024397</v>
      </c>
      <c r="AY7" s="1">
        <f>AY5-AY6</f>
        <v>2861.211248785782</v>
      </c>
      <c r="AZ7" s="1">
        <f>AZ5-AZ6</f>
        <v>2861.211248785782</v>
      </c>
      <c r="BA7" s="1">
        <f>BA5-BA6</f>
        <v>2905.5393195568504</v>
      </c>
      <c r="BB7" s="1">
        <f>BB5-BB6</f>
        <v>2905.5393195568504</v>
      </c>
    </row>
    <row r="8">
      <c r="A8" t="inlineStr">
        <is>
          <t>Depreciation</t>
        </is>
      </c>
      <c r="C8">
        <f>'Debt Service'!C9</f>
        <v>0.0</v>
      </c>
      <c r="D8">
        <f>'Debt Service'!D9</f>
        <v>0.0</v>
      </c>
      <c r="E8">
        <f>'Debt Service'!E9</f>
        <v>825.0</v>
      </c>
      <c r="F8">
        <f>'Debt Service'!F9</f>
        <v>825.0</v>
      </c>
      <c r="G8">
        <f>'Debt Service'!G9</f>
        <v>825.0</v>
      </c>
      <c r="H8">
        <f>'Debt Service'!H9</f>
        <v>825.0</v>
      </c>
      <c r="I8">
        <f>'Debt Service'!I9</f>
        <v>825.0</v>
      </c>
      <c r="J8">
        <f>'Debt Service'!J9</f>
        <v>825.0</v>
      </c>
      <c r="K8">
        <f>'Debt Service'!K9</f>
        <v>825.0</v>
      </c>
      <c r="L8">
        <f>'Debt Service'!L9</f>
        <v>825.0</v>
      </c>
      <c r="M8">
        <f>'Debt Service'!M9</f>
        <v>825.0</v>
      </c>
      <c r="N8">
        <f>'Debt Service'!N9</f>
        <v>825.0</v>
      </c>
      <c r="O8">
        <f>'Debt Service'!O9</f>
        <v>825.0</v>
      </c>
      <c r="P8">
        <f>'Debt Service'!P9</f>
        <v>825.0</v>
      </c>
      <c r="Q8">
        <f>'Debt Service'!Q9</f>
        <v>825.0</v>
      </c>
      <c r="R8">
        <f>'Debt Service'!R9</f>
        <v>825.0</v>
      </c>
      <c r="S8">
        <f>'Debt Service'!S9</f>
        <v>825.0</v>
      </c>
      <c r="T8">
        <f>'Debt Service'!T9</f>
        <v>825.0</v>
      </c>
      <c r="U8">
        <f>'Debt Service'!U9</f>
        <v>825.0</v>
      </c>
      <c r="V8">
        <f>'Debt Service'!V9</f>
        <v>825.0</v>
      </c>
      <c r="W8">
        <f>'Debt Service'!W9</f>
        <v>825.0</v>
      </c>
      <c r="X8">
        <f>'Debt Service'!X9</f>
        <v>825.0</v>
      </c>
      <c r="Y8">
        <f>'Debt Service'!Y9</f>
        <v>825.0</v>
      </c>
      <c r="Z8">
        <f>'Debt Service'!Z9</f>
        <v>825.0</v>
      </c>
      <c r="AA8">
        <f>'Debt Service'!AA9</f>
        <v>825.0</v>
      </c>
      <c r="AB8">
        <f>'Debt Service'!AB9</f>
        <v>825.0</v>
      </c>
      <c r="AC8">
        <f>'Debt Service'!AC9</f>
        <v>825.0</v>
      </c>
      <c r="AD8">
        <f>'Debt Service'!AD9</f>
        <v>825.0</v>
      </c>
      <c r="AE8">
        <f>'Debt Service'!AE9</f>
        <v>825.0</v>
      </c>
      <c r="AF8">
        <f>'Debt Service'!AF9</f>
        <v>825.0</v>
      </c>
      <c r="AG8">
        <f>'Debt Service'!AG9</f>
        <v>825.0</v>
      </c>
      <c r="AH8">
        <f>'Debt Service'!AH9</f>
        <v>825.0</v>
      </c>
      <c r="AI8">
        <f>'Debt Service'!AI9</f>
        <v>825.0</v>
      </c>
      <c r="AJ8">
        <f>'Debt Service'!AJ9</f>
        <v>825.0</v>
      </c>
      <c r="AK8">
        <f>'Debt Service'!AK9</f>
        <v>825.0</v>
      </c>
      <c r="AL8">
        <f>'Debt Service'!AL9</f>
        <v>825.0</v>
      </c>
      <c r="AM8">
        <f>'Debt Service'!AM9</f>
        <v>825.0</v>
      </c>
      <c r="AN8">
        <f>'Debt Service'!AN9</f>
        <v>825.0</v>
      </c>
      <c r="AO8">
        <f>'Debt Service'!AO9</f>
        <v>825.0</v>
      </c>
      <c r="AP8">
        <f>'Debt Service'!AP9</f>
        <v>825.0</v>
      </c>
      <c r="AQ8">
        <f>'Debt Service'!AQ9</f>
        <v>825.0</v>
      </c>
      <c r="AR8">
        <f>'Debt Service'!AR9</f>
        <v>825.0</v>
      </c>
      <c r="AS8">
        <f>'Debt Service'!AS9</f>
        <v>0.0</v>
      </c>
      <c r="AT8">
        <f>'Debt Service'!AT9</f>
        <v>0.0</v>
      </c>
      <c r="AU8">
        <f>'Debt Service'!AU9</f>
        <v>0.0</v>
      </c>
      <c r="AV8">
        <f>'Debt Service'!AV9</f>
        <v>0.0</v>
      </c>
      <c r="AW8">
        <f>'Debt Service'!AW9</f>
        <v>0.0</v>
      </c>
      <c r="AX8">
        <f>'Debt Service'!AX9</f>
        <v>0.0</v>
      </c>
      <c r="AY8">
        <f>'Debt Service'!AY9</f>
        <v>0.0</v>
      </c>
      <c r="AZ8">
        <f>'Debt Service'!AZ9</f>
        <v>0.0</v>
      </c>
      <c r="BA8">
        <f>'Debt Service'!BA9</f>
        <v>0.0</v>
      </c>
      <c r="BB8">
        <f>'Debt Service'!BB9</f>
        <v>0.0</v>
      </c>
    </row>
    <row r="9">
      <c r="A9" t="inlineStr">
        <is>
          <t>Interest expense (actual)</t>
        </is>
      </c>
      <c r="C9">
        <f>'Debt Service'!C21</f>
        <v>0.0</v>
      </c>
      <c r="D9">
        <f>'Debt Service'!D21</f>
        <v>0.0</v>
      </c>
      <c r="E9">
        <f>'Debt Service'!E21</f>
        <v>680.625</v>
      </c>
      <c r="F9">
        <f>'Debt Service'!F21</f>
        <v>663.137470703125</v>
      </c>
      <c r="G9">
        <f>'Debt Service'!G21</f>
        <v>645.1690343505859</v>
      </c>
      <c r="H9">
        <f>'Debt Service'!H21</f>
        <v>626.2186575319458</v>
      </c>
      <c r="I9">
        <f>'Debt Service'!I21</f>
        <v>606.7471453507931</v>
      </c>
      <c r="J9">
        <f>'Debt Service'!J21</f>
        <v>586.2448586824672</v>
      </c>
      <c r="K9">
        <f>'Debt Service'!K21</f>
        <v>565.1787591307623</v>
      </c>
      <c r="L9">
        <f>'Debt Service'!L21</f>
        <v>543.0304204418912</v>
      </c>
      <c r="M9">
        <f>'Debt Service'!M21</f>
        <v>520.2730024390762</v>
      </c>
      <c r="N9">
        <f>'Debt Service'!N21</f>
        <v>496.3791047735994</v>
      </c>
      <c r="O9">
        <f>'Debt Service'!O21</f>
        <v>471.8281249223221</v>
      </c>
      <c r="P9">
        <f>'Debt Service'!P21</f>
        <v>446.0834956843243</v>
      </c>
      <c r="Q9">
        <f>'Debt Service'!Q21</f>
        <v>419.63088914228155</v>
      </c>
      <c r="R9">
        <f>'Debt Service'!R21</f>
        <v>391.92437244137426</v>
      </c>
      <c r="S9">
        <f>'Debt Service'!S21</f>
        <v>363.4559265311921</v>
      </c>
      <c r="T9">
        <f>'Debt Service'!T21</f>
        <v>333.6700477908686</v>
      </c>
      <c r="U9">
        <f>'Debt Service'!U21</f>
        <v>303.0650573851862</v>
      </c>
      <c r="V9">
        <f>'Debt Service'!V21</f>
        <v>271.0756692248306</v>
      </c>
      <c r="W9">
        <f>'Debt Service'!W21</f>
        <v>238.20657289006522</v>
      </c>
      <c r="X9">
        <f>'Debt Service'!X21</f>
        <v>203.88248123613533</v>
      </c>
      <c r="Y9">
        <f>'Debt Service'!Y21</f>
        <v>168.61447706172234</v>
      </c>
      <c r="Z9">
        <f>'Debt Service'!Z21</f>
        <v>128.2631449549576</v>
      </c>
      <c r="AA9">
        <f>'Debt Service'!AA21</f>
        <v>86.80215121525681</v>
      </c>
      <c r="AB9">
        <f>'Debt Service'!AB21</f>
        <v>43.57625597442034</v>
      </c>
      <c r="AC9">
        <f>'Debt Service'!AC21</f>
        <v>0.0</v>
      </c>
      <c r="AD9">
        <f>'Debt Service'!AD21</f>
        <v>0.0</v>
      </c>
      <c r="AE9">
        <f>'Debt Service'!AE21</f>
        <v>0.0</v>
      </c>
      <c r="AF9">
        <f>'Debt Service'!AF21</f>
        <v>0.0</v>
      </c>
      <c r="AG9">
        <f>'Debt Service'!AG21</f>
        <v>0.0</v>
      </c>
      <c r="AH9">
        <f>'Debt Service'!AH21</f>
        <v>0.0</v>
      </c>
      <c r="AI9">
        <f>'Debt Service'!AI21</f>
        <v>0.0</v>
      </c>
      <c r="AJ9">
        <f>'Debt Service'!AJ21</f>
        <v>0.0</v>
      </c>
      <c r="AK9">
        <f>'Debt Service'!AK21</f>
        <v>0.0</v>
      </c>
      <c r="AL9">
        <f>'Debt Service'!AL21</f>
        <v>0.0</v>
      </c>
      <c r="AM9">
        <f>'Debt Service'!AM21</f>
        <v>0.0</v>
      </c>
      <c r="AN9">
        <f>'Debt Service'!AN21</f>
        <v>0.0</v>
      </c>
      <c r="AO9">
        <f>'Debt Service'!AO21</f>
        <v>0.0</v>
      </c>
      <c r="AP9">
        <f>'Debt Service'!AP21</f>
        <v>0.0</v>
      </c>
      <c r="AQ9">
        <f>'Debt Service'!AQ21</f>
        <v>0.0</v>
      </c>
      <c r="AR9">
        <f>'Debt Service'!AR21</f>
        <v>0.0</v>
      </c>
      <c r="AS9">
        <f>'Debt Service'!AS21</f>
        <v>0.0</v>
      </c>
      <c r="AT9">
        <f>'Debt Service'!AT21</f>
        <v>0.0</v>
      </c>
      <c r="AU9">
        <f>'Debt Service'!AU21</f>
        <v>0.0</v>
      </c>
      <c r="AV9">
        <f>'Debt Service'!AV21</f>
        <v>0.0</v>
      </c>
      <c r="AW9">
        <f>'Debt Service'!AW21</f>
        <v>0.0</v>
      </c>
      <c r="AX9">
        <f>'Debt Service'!AX21</f>
        <v>0.0</v>
      </c>
      <c r="AY9">
        <f>'Debt Service'!AY21</f>
        <v>0.0</v>
      </c>
      <c r="AZ9">
        <f>'Debt Service'!AZ21</f>
        <v>0.0</v>
      </c>
      <c r="BA9">
        <f>'Debt Service'!BA21</f>
        <v>0.0</v>
      </c>
      <c r="BB9">
        <f>'Debt Service'!BB21</f>
        <v>0.0</v>
      </c>
    </row>
    <row r="10">
      <c r="A10" t="inlineStr">
        <is>
          <t>Pre-tax profit (EBITDA-Dep-Interest)</t>
        </is>
      </c>
      <c r="C10">
        <f>C7-C8-C9</f>
        <v>0.0</v>
      </c>
      <c r="D10">
        <f>D7-D8-D9</f>
        <v>0.0</v>
      </c>
      <c r="E10">
        <f>E7-E8-E9</f>
        <v>325.83124999999995</v>
      </c>
      <c r="F10">
        <f>F7-F8-F9</f>
        <v>343.31877929687494</v>
      </c>
      <c r="G10">
        <f>G7-G8-G9</f>
        <v>389.66879914941455</v>
      </c>
      <c r="H10">
        <f>H7-H8-H9</f>
        <v>408.6191759680546</v>
      </c>
      <c r="I10">
        <f>I7-I8-I9</f>
        <v>456.9086024585274</v>
      </c>
      <c r="J10">
        <f>J7-J8-J9</f>
        <v>477.41088912685325</v>
      </c>
      <c r="K10">
        <f>K7-K8-K9</f>
        <v>527.7378701036826</v>
      </c>
      <c r="L10">
        <f>L7-L8-L9</f>
        <v>549.8862087925536</v>
      </c>
      <c r="M10">
        <f>M7-M8-M9</f>
        <v>602.3542110911803</v>
      </c>
      <c r="N10">
        <f>N7-N8-N9</f>
        <v>626.2481087566571</v>
      </c>
      <c r="O10">
        <f>O7-O8-O9</f>
        <v>680.966212436904</v>
      </c>
      <c r="P10">
        <f>P7-P8-P9</f>
        <v>706.7108416749018</v>
      </c>
      <c r="Q10">
        <f>Q7-Q8-Q9</f>
        <v>763.7940506290636</v>
      </c>
      <c r="R10">
        <f>R7-R8-R9</f>
        <v>791.5005673299709</v>
      </c>
      <c r="S10">
        <f>S7-S8-S9</f>
        <v>851.070137173899</v>
      </c>
      <c r="T10">
        <f>T7-T8-T9</f>
        <v>880.8560159142224</v>
      </c>
      <c r="U10">
        <f>U7-U8-U9</f>
        <v>943.0398001245285</v>
      </c>
      <c r="V10">
        <f>V7-V8-V9</f>
        <v>975.0291882848842</v>
      </c>
      <c r="W10">
        <f>W7-W8-W9</f>
        <v>1039.962003599051</v>
      </c>
      <c r="X10">
        <f>X7-X8-X9</f>
        <v>1074.2860952529809</v>
      </c>
      <c r="Y10">
        <f>Y7-Y8-Y9</f>
        <v>1348.8825542669827</v>
      </c>
      <c r="Z10">
        <f>Z7-Z8-Z9</f>
        <v>1389.2338863737473</v>
      </c>
      <c r="AA10">
        <f>AA7-AA8-AA9</f>
        <v>1467.042468377821</v>
      </c>
      <c r="AB10">
        <f>AB7-AB8-AB9</f>
        <v>1510.2683636186575</v>
      </c>
      <c r="AC10">
        <f>AC7-AC8-AC9</f>
        <v>1590.7519621731326</v>
      </c>
      <c r="AD10">
        <f>AD7-AD8-AD9</f>
        <v>1590.7519621731326</v>
      </c>
      <c r="AE10">
        <f>AE7-AE8-AE9</f>
        <v>1628.2275923717839</v>
      </c>
      <c r="AF10">
        <f>AF7-AF8-AF9</f>
        <v>1628.2275923717839</v>
      </c>
      <c r="AG10">
        <f>AG7-AG8-AG9</f>
        <v>1666.2801717824154</v>
      </c>
      <c r="AH10">
        <f>AH7-AH8-AH9</f>
        <v>1666.2801717824154</v>
      </c>
      <c r="AI10">
        <f>AI7-AI8-AI9</f>
        <v>1704.9184921800647</v>
      </c>
      <c r="AJ10">
        <f>AJ7-AJ8-AJ9</f>
        <v>1704.9184921800647</v>
      </c>
      <c r="AK10">
        <f>AK7-AK8-AK9</f>
        <v>1744.1514774397028</v>
      </c>
      <c r="AL10">
        <f>AL7-AL8-AL9</f>
        <v>1744.1514774397028</v>
      </c>
      <c r="AM10">
        <f>AM7-AM8-AM9</f>
        <v>1783.9881854819569</v>
      </c>
      <c r="AN10">
        <f>AN7-AN8-AN9</f>
        <v>1783.9881854819569</v>
      </c>
      <c r="AO10">
        <f>AO7-AO8-AO9</f>
        <v>1824.4378102466708</v>
      </c>
      <c r="AP10">
        <f>AP7-AP8-AP9</f>
        <v>1824.4378102466708</v>
      </c>
      <c r="AQ10">
        <f>AQ7-AQ8-AQ9</f>
        <v>1865.5096836946773</v>
      </c>
      <c r="AR10">
        <f>AR7-AR8-AR9</f>
        <v>1865.5096836946773</v>
      </c>
      <c r="AS10">
        <f>AS7-AS8-AS9</f>
        <v>2732.2132778381533</v>
      </c>
      <c r="AT10">
        <f>AT7-AT8-AT9</f>
        <v>2732.2132778381533</v>
      </c>
      <c r="AU10">
        <f>AU7-AU8-AU9</f>
        <v>2774.5582067999744</v>
      </c>
      <c r="AV10">
        <f>AV7-AV8-AV9</f>
        <v>2774.5582067999744</v>
      </c>
      <c r="AW10">
        <f>AW7-AW8-AW9</f>
        <v>2817.5542289024397</v>
      </c>
      <c r="AX10">
        <f>AX7-AX8-AX9</f>
        <v>2817.5542289024397</v>
      </c>
      <c r="AY10">
        <f>AY7-AY8-AY9</f>
        <v>2861.211248785782</v>
      </c>
      <c r="AZ10">
        <f>AZ7-AZ8-AZ9</f>
        <v>2861.211248785782</v>
      </c>
      <c r="BA10">
        <f>BA7-BA8-BA9</f>
        <v>2905.5393195568504</v>
      </c>
      <c r="BB10">
        <f>BB7-BB8-BB9</f>
        <v>2905.5393195568504</v>
      </c>
    </row>
    <row r="11">
      <c r="A11" t="inlineStr">
        <is>
          <t>Loss pool, opening</t>
        </is>
      </c>
      <c r="C11" t="n">
        <v>0</v>
      </c>
      <c r="D11">
        <f>C13</f>
        <v>0.0</v>
      </c>
      <c r="E11">
        <f>D13</f>
        <v>0.0</v>
      </c>
      <c r="F11">
        <f>E13</f>
        <v>0.0</v>
      </c>
      <c r="G11">
        <f>F13</f>
        <v>0.0</v>
      </c>
      <c r="H11">
        <f>G13</f>
        <v>0.0</v>
      </c>
      <c r="I11">
        <f>H13</f>
        <v>0.0</v>
      </c>
      <c r="J11">
        <f>I13</f>
        <v>0.0</v>
      </c>
      <c r="K11">
        <f>J13</f>
        <v>0.0</v>
      </c>
      <c r="L11">
        <f>K13</f>
        <v>0.0</v>
      </c>
      <c r="M11">
        <f>L13</f>
        <v>0.0</v>
      </c>
      <c r="N11">
        <f>M13</f>
        <v>0.0</v>
      </c>
      <c r="O11">
        <f>N13</f>
        <v>0.0</v>
      </c>
      <c r="P11">
        <f>O13</f>
        <v>0.0</v>
      </c>
      <c r="Q11">
        <f>P13</f>
        <v>0.0</v>
      </c>
      <c r="R11">
        <f>Q13</f>
        <v>0.0</v>
      </c>
      <c r="S11">
        <f>R13</f>
        <v>0.0</v>
      </c>
      <c r="T11">
        <f>S13</f>
        <v>0.0</v>
      </c>
      <c r="U11">
        <f>T13</f>
        <v>0.0</v>
      </c>
      <c r="V11">
        <f>U13</f>
        <v>0.0</v>
      </c>
      <c r="W11">
        <f>V13</f>
        <v>0.0</v>
      </c>
      <c r="X11">
        <f>W13</f>
        <v>0.0</v>
      </c>
      <c r="Y11">
        <f>X13</f>
        <v>0.0</v>
      </c>
      <c r="Z11">
        <f>Y13</f>
        <v>0.0</v>
      </c>
      <c r="AA11">
        <f>Z13</f>
        <v>0.0</v>
      </c>
      <c r="AB11">
        <f>AA13</f>
        <v>0.0</v>
      </c>
      <c r="AC11">
        <f>AB13</f>
        <v>0.0</v>
      </c>
      <c r="AD11">
        <f>AC13</f>
        <v>0.0</v>
      </c>
      <c r="AE11">
        <f>AD13</f>
        <v>0.0</v>
      </c>
      <c r="AF11">
        <f>AE13</f>
        <v>0.0</v>
      </c>
      <c r="AG11">
        <f>AF13</f>
        <v>0.0</v>
      </c>
      <c r="AH11">
        <f>AG13</f>
        <v>0.0</v>
      </c>
      <c r="AI11">
        <f>AH13</f>
        <v>0.0</v>
      </c>
      <c r="AJ11">
        <f>AI13</f>
        <v>0.0</v>
      </c>
      <c r="AK11">
        <f>AJ13</f>
        <v>0.0</v>
      </c>
      <c r="AL11">
        <f>AK13</f>
        <v>0.0</v>
      </c>
      <c r="AM11">
        <f>AL13</f>
        <v>0.0</v>
      </c>
      <c r="AN11">
        <f>AM13</f>
        <v>0.0</v>
      </c>
      <c r="AO11">
        <f>AN13</f>
        <v>0.0</v>
      </c>
      <c r="AP11">
        <f>AO13</f>
        <v>0.0</v>
      </c>
      <c r="AQ11">
        <f>AP13</f>
        <v>0.0</v>
      </c>
      <c r="AR11">
        <f>AQ13</f>
        <v>0.0</v>
      </c>
      <c r="AS11">
        <f>AR13</f>
        <v>0.0</v>
      </c>
      <c r="AT11">
        <f>AS13</f>
        <v>0.0</v>
      </c>
      <c r="AU11">
        <f>AT13</f>
        <v>0.0</v>
      </c>
      <c r="AV11">
        <f>AU13</f>
        <v>0.0</v>
      </c>
      <c r="AW11">
        <f>AV13</f>
        <v>0.0</v>
      </c>
      <c r="AX11">
        <f>AW13</f>
        <v>0.0</v>
      </c>
      <c r="AY11">
        <f>AX13</f>
        <v>0.0</v>
      </c>
      <c r="AZ11">
        <f>AY13</f>
        <v>0.0</v>
      </c>
      <c r="BA11">
        <f>AZ13</f>
        <v>0.0</v>
      </c>
      <c r="BB11">
        <f>BA13</f>
        <v>0.0</v>
      </c>
    </row>
    <row r="12">
      <c r="A12" t="inlineStr">
        <is>
          <t>Loss pool used this period</t>
        </is>
      </c>
      <c r="C12">
        <f>IF(C10&lt;0,0,MIN(C11,C10))</f>
        <v>0.0</v>
      </c>
      <c r="D12">
        <f>IF(D10&lt;0,0,MIN(D11,D10))</f>
        <v>0.0</v>
      </c>
      <c r="E12">
        <f>IF(E10&lt;0,0,MIN(E11,E10))</f>
        <v>0.0</v>
      </c>
      <c r="F12">
        <f>IF(F10&lt;0,0,MIN(F11,F10))</f>
        <v>0.0</v>
      </c>
      <c r="G12">
        <f>IF(G10&lt;0,0,MIN(G11,G10))</f>
        <v>0.0</v>
      </c>
      <c r="H12">
        <f>IF(H10&lt;0,0,MIN(H11,H10))</f>
        <v>0.0</v>
      </c>
      <c r="I12">
        <f>IF(I10&lt;0,0,MIN(I11,I10))</f>
        <v>0.0</v>
      </c>
      <c r="J12">
        <f>IF(J10&lt;0,0,MIN(J11,J10))</f>
        <v>0.0</v>
      </c>
      <c r="K12">
        <f>IF(K10&lt;0,0,MIN(K11,K10))</f>
        <v>0.0</v>
      </c>
      <c r="L12">
        <f>IF(L10&lt;0,0,MIN(L11,L10))</f>
        <v>0.0</v>
      </c>
      <c r="M12">
        <f>IF(M10&lt;0,0,MIN(M11,M10))</f>
        <v>0.0</v>
      </c>
      <c r="N12">
        <f>IF(N10&lt;0,0,MIN(N11,N10))</f>
        <v>0.0</v>
      </c>
      <c r="O12">
        <f>IF(O10&lt;0,0,MIN(O11,O10))</f>
        <v>0.0</v>
      </c>
      <c r="P12">
        <f>IF(P10&lt;0,0,MIN(P11,P10))</f>
        <v>0.0</v>
      </c>
      <c r="Q12">
        <f>IF(Q10&lt;0,0,MIN(Q11,Q10))</f>
        <v>0.0</v>
      </c>
      <c r="R12">
        <f>IF(R10&lt;0,0,MIN(R11,R10))</f>
        <v>0.0</v>
      </c>
      <c r="S12">
        <f>IF(S10&lt;0,0,MIN(S11,S10))</f>
        <v>0.0</v>
      </c>
      <c r="T12">
        <f>IF(T10&lt;0,0,MIN(T11,T10))</f>
        <v>0.0</v>
      </c>
      <c r="U12">
        <f>IF(U10&lt;0,0,MIN(U11,U10))</f>
        <v>0.0</v>
      </c>
      <c r="V12">
        <f>IF(V10&lt;0,0,MIN(V11,V10))</f>
        <v>0.0</v>
      </c>
      <c r="W12">
        <f>IF(W10&lt;0,0,MIN(W11,W10))</f>
        <v>0.0</v>
      </c>
      <c r="X12">
        <f>IF(X10&lt;0,0,MIN(X11,X10))</f>
        <v>0.0</v>
      </c>
      <c r="Y12">
        <f>IF(Y10&lt;0,0,MIN(Y11,Y10))</f>
        <v>0.0</v>
      </c>
      <c r="Z12">
        <f>IF(Z10&lt;0,0,MIN(Z11,Z10))</f>
        <v>0.0</v>
      </c>
      <c r="AA12">
        <f>IF(AA10&lt;0,0,MIN(AA11,AA10))</f>
        <v>0.0</v>
      </c>
      <c r="AB12">
        <f>IF(AB10&lt;0,0,MIN(AB11,AB10))</f>
        <v>0.0</v>
      </c>
      <c r="AC12">
        <f>IF(AC10&lt;0,0,MIN(AC11,AC10))</f>
        <v>0.0</v>
      </c>
      <c r="AD12">
        <f>IF(AD10&lt;0,0,MIN(AD11,AD10))</f>
        <v>0.0</v>
      </c>
      <c r="AE12">
        <f>IF(AE10&lt;0,0,MIN(AE11,AE10))</f>
        <v>0.0</v>
      </c>
      <c r="AF12">
        <f>IF(AF10&lt;0,0,MIN(AF11,AF10))</f>
        <v>0.0</v>
      </c>
      <c r="AG12">
        <f>IF(AG10&lt;0,0,MIN(AG11,AG10))</f>
        <v>0.0</v>
      </c>
      <c r="AH12">
        <f>IF(AH10&lt;0,0,MIN(AH11,AH10))</f>
        <v>0.0</v>
      </c>
      <c r="AI12">
        <f>IF(AI10&lt;0,0,MIN(AI11,AI10))</f>
        <v>0.0</v>
      </c>
      <c r="AJ12">
        <f>IF(AJ10&lt;0,0,MIN(AJ11,AJ10))</f>
        <v>0.0</v>
      </c>
      <c r="AK12">
        <f>IF(AK10&lt;0,0,MIN(AK11,AK10))</f>
        <v>0.0</v>
      </c>
      <c r="AL12">
        <f>IF(AL10&lt;0,0,MIN(AL11,AL10))</f>
        <v>0.0</v>
      </c>
      <c r="AM12">
        <f>IF(AM10&lt;0,0,MIN(AM11,AM10))</f>
        <v>0.0</v>
      </c>
      <c r="AN12">
        <f>IF(AN10&lt;0,0,MIN(AN11,AN10))</f>
        <v>0.0</v>
      </c>
      <c r="AO12">
        <f>IF(AO10&lt;0,0,MIN(AO11,AO10))</f>
        <v>0.0</v>
      </c>
      <c r="AP12">
        <f>IF(AP10&lt;0,0,MIN(AP11,AP10))</f>
        <v>0.0</v>
      </c>
      <c r="AQ12">
        <f>IF(AQ10&lt;0,0,MIN(AQ11,AQ10))</f>
        <v>0.0</v>
      </c>
      <c r="AR12">
        <f>IF(AR10&lt;0,0,MIN(AR11,AR10))</f>
        <v>0.0</v>
      </c>
      <c r="AS12">
        <f>IF(AS10&lt;0,0,MIN(AS11,AS10))</f>
        <v>0.0</v>
      </c>
      <c r="AT12">
        <f>IF(AT10&lt;0,0,MIN(AT11,AT10))</f>
        <v>0.0</v>
      </c>
      <c r="AU12">
        <f>IF(AU10&lt;0,0,MIN(AU11,AU10))</f>
        <v>0.0</v>
      </c>
      <c r="AV12">
        <f>IF(AV10&lt;0,0,MIN(AV11,AV10))</f>
        <v>0.0</v>
      </c>
      <c r="AW12">
        <f>IF(AW10&lt;0,0,MIN(AW11,AW10))</f>
        <v>0.0</v>
      </c>
      <c r="AX12">
        <f>IF(AX10&lt;0,0,MIN(AX11,AX10))</f>
        <v>0.0</v>
      </c>
      <c r="AY12">
        <f>IF(AY10&lt;0,0,MIN(AY11,AY10))</f>
        <v>0.0</v>
      </c>
      <c r="AZ12">
        <f>IF(AZ10&lt;0,0,MIN(AZ11,AZ10))</f>
        <v>0.0</v>
      </c>
      <c r="BA12">
        <f>IF(BA10&lt;0,0,MIN(BA11,BA10))</f>
        <v>0.0</v>
      </c>
      <c r="BB12">
        <f>IF(BB10&lt;0,0,MIN(BB11,BB10))</f>
        <v>0.0</v>
      </c>
    </row>
    <row r="13">
      <c r="A13" t="inlineStr">
        <is>
          <t>Loss pool, closing</t>
        </is>
      </c>
      <c r="C13">
        <f>C11-C12+IF(C10&lt;0,-C10,0)</f>
        <v>0.0</v>
      </c>
      <c r="D13">
        <f>D11-D12+IF(D10&lt;0,-D10,0)</f>
        <v>0.0</v>
      </c>
      <c r="E13">
        <f>E11-E12+IF(E10&lt;0,-E10,0)</f>
        <v>0.0</v>
      </c>
      <c r="F13">
        <f>F11-F12+IF(F10&lt;0,-F10,0)</f>
        <v>0.0</v>
      </c>
      <c r="G13">
        <f>G11-G12+IF(G10&lt;0,-G10,0)</f>
        <v>0.0</v>
      </c>
      <c r="H13">
        <f>H11-H12+IF(H10&lt;0,-H10,0)</f>
        <v>0.0</v>
      </c>
      <c r="I13">
        <f>I11-I12+IF(I10&lt;0,-I10,0)</f>
        <v>0.0</v>
      </c>
      <c r="J13">
        <f>J11-J12+IF(J10&lt;0,-J10,0)</f>
        <v>0.0</v>
      </c>
      <c r="K13">
        <f>K11-K12+IF(K10&lt;0,-K10,0)</f>
        <v>0.0</v>
      </c>
      <c r="L13">
        <f>L11-L12+IF(L10&lt;0,-L10,0)</f>
        <v>0.0</v>
      </c>
      <c r="M13">
        <f>M11-M12+IF(M10&lt;0,-M10,0)</f>
        <v>0.0</v>
      </c>
      <c r="N13">
        <f>N11-N12+IF(N10&lt;0,-N10,0)</f>
        <v>0.0</v>
      </c>
      <c r="O13">
        <f>O11-O12+IF(O10&lt;0,-O10,0)</f>
        <v>0.0</v>
      </c>
      <c r="P13">
        <f>P11-P12+IF(P10&lt;0,-P10,0)</f>
        <v>0.0</v>
      </c>
      <c r="Q13">
        <f>Q11-Q12+IF(Q10&lt;0,-Q10,0)</f>
        <v>0.0</v>
      </c>
      <c r="R13">
        <f>R11-R12+IF(R10&lt;0,-R10,0)</f>
        <v>0.0</v>
      </c>
      <c r="S13">
        <f>S11-S12+IF(S10&lt;0,-S10,0)</f>
        <v>0.0</v>
      </c>
      <c r="T13">
        <f>T11-T12+IF(T10&lt;0,-T10,0)</f>
        <v>0.0</v>
      </c>
      <c r="U13">
        <f>U11-U12+IF(U10&lt;0,-U10,0)</f>
        <v>0.0</v>
      </c>
      <c r="V13">
        <f>V11-V12+IF(V10&lt;0,-V10,0)</f>
        <v>0.0</v>
      </c>
      <c r="W13">
        <f>W11-W12+IF(W10&lt;0,-W10,0)</f>
        <v>0.0</v>
      </c>
      <c r="X13">
        <f>X11-X12+IF(X10&lt;0,-X10,0)</f>
        <v>0.0</v>
      </c>
      <c r="Y13">
        <f>Y11-Y12+IF(Y10&lt;0,-Y10,0)</f>
        <v>0.0</v>
      </c>
      <c r="Z13">
        <f>Z11-Z12+IF(Z10&lt;0,-Z10,0)</f>
        <v>0.0</v>
      </c>
      <c r="AA13">
        <f>AA11-AA12+IF(AA10&lt;0,-AA10,0)</f>
        <v>0.0</v>
      </c>
      <c r="AB13">
        <f>AB11-AB12+IF(AB10&lt;0,-AB10,0)</f>
        <v>0.0</v>
      </c>
      <c r="AC13">
        <f>AC11-AC12+IF(AC10&lt;0,-AC10,0)</f>
        <v>0.0</v>
      </c>
      <c r="AD13">
        <f>AD11-AD12+IF(AD10&lt;0,-AD10,0)</f>
        <v>0.0</v>
      </c>
      <c r="AE13">
        <f>AE11-AE12+IF(AE10&lt;0,-AE10,0)</f>
        <v>0.0</v>
      </c>
      <c r="AF13">
        <f>AF11-AF12+IF(AF10&lt;0,-AF10,0)</f>
        <v>0.0</v>
      </c>
      <c r="AG13">
        <f>AG11-AG12+IF(AG10&lt;0,-AG10,0)</f>
        <v>0.0</v>
      </c>
      <c r="AH13">
        <f>AH11-AH12+IF(AH10&lt;0,-AH10,0)</f>
        <v>0.0</v>
      </c>
      <c r="AI13">
        <f>AI11-AI12+IF(AI10&lt;0,-AI10,0)</f>
        <v>0.0</v>
      </c>
      <c r="AJ13">
        <f>AJ11-AJ12+IF(AJ10&lt;0,-AJ10,0)</f>
        <v>0.0</v>
      </c>
      <c r="AK13">
        <f>AK11-AK12+IF(AK10&lt;0,-AK10,0)</f>
        <v>0.0</v>
      </c>
      <c r="AL13">
        <f>AL11-AL12+IF(AL10&lt;0,-AL10,0)</f>
        <v>0.0</v>
      </c>
      <c r="AM13">
        <f>AM11-AM12+IF(AM10&lt;0,-AM10,0)</f>
        <v>0.0</v>
      </c>
      <c r="AN13">
        <f>AN11-AN12+IF(AN10&lt;0,-AN10,0)</f>
        <v>0.0</v>
      </c>
      <c r="AO13">
        <f>AO11-AO12+IF(AO10&lt;0,-AO10,0)</f>
        <v>0.0</v>
      </c>
      <c r="AP13">
        <f>AP11-AP12+IF(AP10&lt;0,-AP10,0)</f>
        <v>0.0</v>
      </c>
      <c r="AQ13">
        <f>AQ11-AQ12+IF(AQ10&lt;0,-AQ10,0)</f>
        <v>0.0</v>
      </c>
      <c r="AR13">
        <f>AR11-AR12+IF(AR10&lt;0,-AR10,0)</f>
        <v>0.0</v>
      </c>
      <c r="AS13">
        <f>AS11-AS12+IF(AS10&lt;0,-AS10,0)</f>
        <v>0.0</v>
      </c>
      <c r="AT13">
        <f>AT11-AT12+IF(AT10&lt;0,-AT10,0)</f>
        <v>0.0</v>
      </c>
      <c r="AU13">
        <f>AU11-AU12+IF(AU10&lt;0,-AU10,0)</f>
        <v>0.0</v>
      </c>
      <c r="AV13">
        <f>AV11-AV12+IF(AV10&lt;0,-AV10,0)</f>
        <v>0.0</v>
      </c>
      <c r="AW13">
        <f>AW11-AW12+IF(AW10&lt;0,-AW10,0)</f>
        <v>0.0</v>
      </c>
      <c r="AX13">
        <f>AX11-AX12+IF(AX10&lt;0,-AX10,0)</f>
        <v>0.0</v>
      </c>
      <c r="AY13">
        <f>AY11-AY12+IF(AY10&lt;0,-AY10,0)</f>
        <v>0.0</v>
      </c>
      <c r="AZ13">
        <f>AZ11-AZ12+IF(AZ10&lt;0,-AZ10,0)</f>
        <v>0.0</v>
      </c>
      <c r="BA13">
        <f>BA11-BA12+IF(BA10&lt;0,-BA10,0)</f>
        <v>0.0</v>
      </c>
      <c r="BB13">
        <f>BB11-BB12+IF(BB10&lt;0,-BB10,0)</f>
        <v>0.0</v>
      </c>
    </row>
    <row r="14">
      <c r="A14" t="inlineStr">
        <is>
          <t>Taxable profit (after loss relief)</t>
        </is>
      </c>
      <c r="C14">
        <f>MAX(0,C10-C12)</f>
        <v>0.0</v>
      </c>
      <c r="D14">
        <f>MAX(0,D10-D12)</f>
        <v>0.0</v>
      </c>
      <c r="E14">
        <f>MAX(0,E10-E12)</f>
        <v>325.83124999999995</v>
      </c>
      <c r="F14">
        <f>MAX(0,F10-F12)</f>
        <v>343.31877929687494</v>
      </c>
      <c r="G14">
        <f>MAX(0,G10-G12)</f>
        <v>389.66879914941455</v>
      </c>
      <c r="H14">
        <f>MAX(0,H10-H12)</f>
        <v>408.6191759680546</v>
      </c>
      <c r="I14">
        <f>MAX(0,I10-I12)</f>
        <v>456.9086024585274</v>
      </c>
      <c r="J14">
        <f>MAX(0,J10-J12)</f>
        <v>477.41088912685325</v>
      </c>
      <c r="K14">
        <f>MAX(0,K10-K12)</f>
        <v>527.7378701036826</v>
      </c>
      <c r="L14">
        <f>MAX(0,L10-L12)</f>
        <v>549.8862087925536</v>
      </c>
      <c r="M14">
        <f>MAX(0,M10-M12)</f>
        <v>602.3542110911803</v>
      </c>
      <c r="N14">
        <f>MAX(0,N10-N12)</f>
        <v>626.2481087566571</v>
      </c>
      <c r="O14">
        <f>MAX(0,O10-O12)</f>
        <v>680.966212436904</v>
      </c>
      <c r="P14">
        <f>MAX(0,P10-P12)</f>
        <v>706.7108416749018</v>
      </c>
      <c r="Q14">
        <f>MAX(0,Q10-Q12)</f>
        <v>763.7940506290636</v>
      </c>
      <c r="R14">
        <f>MAX(0,R10-R12)</f>
        <v>791.5005673299709</v>
      </c>
      <c r="S14">
        <f>MAX(0,S10-S12)</f>
        <v>851.070137173899</v>
      </c>
      <c r="T14">
        <f>MAX(0,T10-T12)</f>
        <v>880.8560159142224</v>
      </c>
      <c r="U14">
        <f>MAX(0,U10-U12)</f>
        <v>943.0398001245285</v>
      </c>
      <c r="V14">
        <f>MAX(0,V10-V12)</f>
        <v>975.0291882848842</v>
      </c>
      <c r="W14">
        <f>MAX(0,W10-W12)</f>
        <v>1039.962003599051</v>
      </c>
      <c r="X14">
        <f>MAX(0,X10-X12)</f>
        <v>1074.2860952529809</v>
      </c>
      <c r="Y14">
        <f>MAX(0,Y10-Y12)</f>
        <v>1348.8825542669827</v>
      </c>
      <c r="Z14">
        <f>MAX(0,Z10-Z12)</f>
        <v>1389.2338863737473</v>
      </c>
      <c r="AA14">
        <f>MAX(0,AA10-AA12)</f>
        <v>1467.042468377821</v>
      </c>
      <c r="AB14">
        <f>MAX(0,AB10-AB12)</f>
        <v>1510.2683636186575</v>
      </c>
      <c r="AC14">
        <f>MAX(0,AC10-AC12)</f>
        <v>1590.7519621731326</v>
      </c>
      <c r="AD14">
        <f>MAX(0,AD10-AD12)</f>
        <v>1590.7519621731326</v>
      </c>
      <c r="AE14">
        <f>MAX(0,AE10-AE12)</f>
        <v>1628.2275923717839</v>
      </c>
      <c r="AF14">
        <f>MAX(0,AF10-AF12)</f>
        <v>1628.2275923717839</v>
      </c>
      <c r="AG14">
        <f>MAX(0,AG10-AG12)</f>
        <v>1666.2801717824154</v>
      </c>
      <c r="AH14">
        <f>MAX(0,AH10-AH12)</f>
        <v>1666.2801717824154</v>
      </c>
      <c r="AI14">
        <f>MAX(0,AI10-AI12)</f>
        <v>1704.9184921800647</v>
      </c>
      <c r="AJ14">
        <f>MAX(0,AJ10-AJ12)</f>
        <v>1704.9184921800647</v>
      </c>
      <c r="AK14">
        <f>MAX(0,AK10-AK12)</f>
        <v>1744.1514774397028</v>
      </c>
      <c r="AL14">
        <f>MAX(0,AL10-AL12)</f>
        <v>1744.1514774397028</v>
      </c>
      <c r="AM14">
        <f>MAX(0,AM10-AM12)</f>
        <v>1783.9881854819569</v>
      </c>
      <c r="AN14">
        <f>MAX(0,AN10-AN12)</f>
        <v>1783.9881854819569</v>
      </c>
      <c r="AO14">
        <f>MAX(0,AO10-AO12)</f>
        <v>1824.4378102466708</v>
      </c>
      <c r="AP14">
        <f>MAX(0,AP10-AP12)</f>
        <v>1824.4378102466708</v>
      </c>
      <c r="AQ14">
        <f>MAX(0,AQ10-AQ12)</f>
        <v>1865.5096836946773</v>
      </c>
      <c r="AR14">
        <f>MAX(0,AR10-AR12)</f>
        <v>1865.5096836946773</v>
      </c>
      <c r="AS14">
        <f>MAX(0,AS10-AS12)</f>
        <v>2732.2132778381533</v>
      </c>
      <c r="AT14">
        <f>MAX(0,AT10-AT12)</f>
        <v>2732.2132778381533</v>
      </c>
      <c r="AU14">
        <f>MAX(0,AU10-AU12)</f>
        <v>2774.5582067999744</v>
      </c>
      <c r="AV14">
        <f>MAX(0,AV10-AV12)</f>
        <v>2774.5582067999744</v>
      </c>
      <c r="AW14">
        <f>MAX(0,AW10-AW12)</f>
        <v>2817.5542289024397</v>
      </c>
      <c r="AX14">
        <f>MAX(0,AX10-AX12)</f>
        <v>2817.5542289024397</v>
      </c>
      <c r="AY14">
        <f>MAX(0,AY10-AY12)</f>
        <v>2861.211248785782</v>
      </c>
      <c r="AZ14">
        <f>MAX(0,AZ10-AZ12)</f>
        <v>2861.211248785782</v>
      </c>
      <c r="BA14">
        <f>MAX(0,BA10-BA12)</f>
        <v>2905.5393195568504</v>
      </c>
      <c r="BB14">
        <f>MAX(0,BB10-BB12)</f>
        <v>2905.5393195568504</v>
      </c>
    </row>
    <row r="15">
      <c r="A15" s="1" t="inlineStr">
        <is>
          <t>Corporate tax</t>
        </is>
      </c>
      <c r="C15" s="1">
        <f>C14*'Inputs'!$C$33</f>
        <v>0.0</v>
      </c>
      <c r="D15" s="1">
        <f>D14*'Inputs'!$C$33</f>
        <v>0.0</v>
      </c>
      <c r="E15" s="1">
        <f>E14*'Inputs'!$C$33</f>
        <v>81.45781249999999</v>
      </c>
      <c r="F15" s="1">
        <f>F14*'Inputs'!$C$33</f>
        <v>85.82969482421873</v>
      </c>
      <c r="G15" s="1">
        <f>G14*'Inputs'!$C$33</f>
        <v>97.41719978735364</v>
      </c>
      <c r="H15" s="1">
        <f>H14*'Inputs'!$C$33</f>
        <v>102.15479399201365</v>
      </c>
      <c r="I15" s="1">
        <f>I14*'Inputs'!$C$33</f>
        <v>114.22715061463185</v>
      </c>
      <c r="J15" s="1">
        <f>J14*'Inputs'!$C$33</f>
        <v>119.35272228171331</v>
      </c>
      <c r="K15" s="1">
        <f>K14*'Inputs'!$C$33</f>
        <v>131.93446752592064</v>
      </c>
      <c r="L15" s="1">
        <f>L14*'Inputs'!$C$33</f>
        <v>137.4715521981384</v>
      </c>
      <c r="M15" s="1">
        <f>M14*'Inputs'!$C$33</f>
        <v>150.58855277279508</v>
      </c>
      <c r="N15" s="1">
        <f>N14*'Inputs'!$C$33</f>
        <v>156.56202718916427</v>
      </c>
      <c r="O15" s="1">
        <f>O14*'Inputs'!$C$33</f>
        <v>170.241553109226</v>
      </c>
      <c r="P15" s="1">
        <f>P14*'Inputs'!$C$33</f>
        <v>176.67771041872544</v>
      </c>
      <c r="Q15" s="1">
        <f>Q14*'Inputs'!$C$33</f>
        <v>190.9485126572659</v>
      </c>
      <c r="R15" s="1">
        <f>R14*'Inputs'!$C$33</f>
        <v>197.87514183249272</v>
      </c>
      <c r="S15" s="1">
        <f>S14*'Inputs'!$C$33</f>
        <v>212.76753429347474</v>
      </c>
      <c r="T15" s="1">
        <f>T14*'Inputs'!$C$33</f>
        <v>220.2140039785556</v>
      </c>
      <c r="U15" s="1">
        <f>U14*'Inputs'!$C$33</f>
        <v>235.75995003113212</v>
      </c>
      <c r="V15" s="1">
        <f>V14*'Inputs'!$C$33</f>
        <v>243.75729707122105</v>
      </c>
      <c r="W15" s="1">
        <f>W14*'Inputs'!$C$33</f>
        <v>259.99050089976276</v>
      </c>
      <c r="X15" s="1">
        <f>X14*'Inputs'!$C$33</f>
        <v>268.5715238132452</v>
      </c>
      <c r="Y15" s="1">
        <f>Y14*'Inputs'!$C$33</f>
        <v>337.22063856674566</v>
      </c>
      <c r="Z15" s="1">
        <f>Z14*'Inputs'!$C$33</f>
        <v>347.3084715934368</v>
      </c>
      <c r="AA15" s="1">
        <f>AA14*'Inputs'!$C$33</f>
        <v>366.76061709445526</v>
      </c>
      <c r="AB15" s="1">
        <f>AB14*'Inputs'!$C$33</f>
        <v>377.5670909046644</v>
      </c>
      <c r="AC15" s="1">
        <f>AC14*'Inputs'!$C$33</f>
        <v>397.68799054328315</v>
      </c>
      <c r="AD15" s="1">
        <f>AD14*'Inputs'!$C$33</f>
        <v>397.68799054328315</v>
      </c>
      <c r="AE15" s="1">
        <f>AE14*'Inputs'!$C$33</f>
        <v>407.05689809294597</v>
      </c>
      <c r="AF15" s="1">
        <f>AF14*'Inputs'!$C$33</f>
        <v>407.05689809294597</v>
      </c>
      <c r="AG15" s="1">
        <f>AG14*'Inputs'!$C$33</f>
        <v>416.57004294560386</v>
      </c>
      <c r="AH15" s="1">
        <f>AH14*'Inputs'!$C$33</f>
        <v>416.57004294560386</v>
      </c>
      <c r="AI15" s="1">
        <f>AI14*'Inputs'!$C$33</f>
        <v>426.2296230450162</v>
      </c>
      <c r="AJ15" s="1">
        <f>AJ14*'Inputs'!$C$33</f>
        <v>426.2296230450162</v>
      </c>
      <c r="AK15" s="1">
        <f>AK14*'Inputs'!$C$33</f>
        <v>436.0378693599257</v>
      </c>
      <c r="AL15" s="1">
        <f>AL14*'Inputs'!$C$33</f>
        <v>436.0378693599257</v>
      </c>
      <c r="AM15" s="1">
        <f>AM14*'Inputs'!$C$33</f>
        <v>445.9970463704892</v>
      </c>
      <c r="AN15" s="1">
        <f>AN14*'Inputs'!$C$33</f>
        <v>445.9970463704892</v>
      </c>
      <c r="AO15" s="1">
        <f>AO14*'Inputs'!$C$33</f>
        <v>456.1094525616677</v>
      </c>
      <c r="AP15" s="1">
        <f>AP14*'Inputs'!$C$33</f>
        <v>456.1094525616677</v>
      </c>
      <c r="AQ15" s="1">
        <f>AQ14*'Inputs'!$C$33</f>
        <v>466.3774209236693</v>
      </c>
      <c r="AR15" s="1">
        <f>AR14*'Inputs'!$C$33</f>
        <v>466.3774209236693</v>
      </c>
      <c r="AS15" s="1">
        <f>AS14*'Inputs'!$C$33</f>
        <v>683.0533194595383</v>
      </c>
      <c r="AT15" s="1">
        <f>AT14*'Inputs'!$C$33</f>
        <v>683.0533194595383</v>
      </c>
      <c r="AU15" s="1">
        <f>AU14*'Inputs'!$C$33</f>
        <v>693.6395516999936</v>
      </c>
      <c r="AV15" s="1">
        <f>AV14*'Inputs'!$C$33</f>
        <v>693.6395516999936</v>
      </c>
      <c r="AW15" s="1">
        <f>AW14*'Inputs'!$C$33</f>
        <v>704.3885572256099</v>
      </c>
      <c r="AX15" s="1">
        <f>AX14*'Inputs'!$C$33</f>
        <v>704.3885572256099</v>
      </c>
      <c r="AY15" s="1">
        <f>AY14*'Inputs'!$C$33</f>
        <v>715.3028121964455</v>
      </c>
      <c r="AZ15" s="1">
        <f>AZ14*'Inputs'!$C$33</f>
        <v>715.3028121964455</v>
      </c>
      <c r="BA15" s="1">
        <f>BA14*'Inputs'!$C$33</f>
        <v>726.3848298892126</v>
      </c>
      <c r="BB15" s="1">
        <f>BB14*'Inputs'!$C$33</f>
        <v>726.3848298892126</v>
      </c>
    </row>
    <row r="16">
      <c r="A16" s="1" t="inlineStr">
        <is>
          <t>Net income</t>
        </is>
      </c>
      <c r="C16" s="1">
        <f>C10-C15</f>
        <v>0.0</v>
      </c>
      <c r="D16" s="1">
        <f>D10-D15</f>
        <v>0.0</v>
      </c>
      <c r="E16" s="1">
        <f>E10-E15</f>
        <v>244.37343749999997</v>
      </c>
      <c r="F16" s="1">
        <f>F10-F15</f>
        <v>257.4890844726562</v>
      </c>
      <c r="G16" s="1">
        <f>G10-G15</f>
        <v>292.2515993620609</v>
      </c>
      <c r="H16" s="1">
        <f>H10-H15</f>
        <v>306.46438197604095</v>
      </c>
      <c r="I16" s="1">
        <f>I10-I15</f>
        <v>342.68145184389556</v>
      </c>
      <c r="J16" s="1">
        <f>J10-J15</f>
        <v>358.0581668451399</v>
      </c>
      <c r="K16" s="1">
        <f>K10-K15</f>
        <v>395.8034025777619</v>
      </c>
      <c r="L16" s="1">
        <f>L10-L15</f>
        <v>412.4146565944152</v>
      </c>
      <c r="M16" s="1">
        <f>M10-M15</f>
        <v>451.76565831838525</v>
      </c>
      <c r="N16" s="1">
        <f>N10-N15</f>
        <v>469.6860815674928</v>
      </c>
      <c r="O16" s="1">
        <f>O10-O15</f>
        <v>510.724659327678</v>
      </c>
      <c r="P16" s="1">
        <f>P10-P15</f>
        <v>530.0331312561764</v>
      </c>
      <c r="Q16" s="1">
        <f>Q10-Q15</f>
        <v>572.8455379717977</v>
      </c>
      <c r="R16" s="1">
        <f>R10-R15</f>
        <v>593.6254254974781</v>
      </c>
      <c r="S16" s="1">
        <f>S10-S15</f>
        <v>638.3026028804243</v>
      </c>
      <c r="T16" s="1">
        <f>T10-T15</f>
        <v>660.6420119356668</v>
      </c>
      <c r="U16" s="1">
        <f>U10-U15</f>
        <v>707.2798500933964</v>
      </c>
      <c r="V16" s="1">
        <f>V10-V15</f>
        <v>731.2718912136631</v>
      </c>
      <c r="W16" s="1">
        <f>W10-W15</f>
        <v>779.9715026992883</v>
      </c>
      <c r="X16" s="1">
        <f>X10-X15</f>
        <v>805.7145714397357</v>
      </c>
      <c r="Y16" s="1">
        <f>Y10-Y15</f>
        <v>1011.6619157002369</v>
      </c>
      <c r="Z16" s="1">
        <f>Z10-Z15</f>
        <v>1041.9254147803103</v>
      </c>
      <c r="AA16" s="1">
        <f>AA10-AA15</f>
        <v>1100.2818512833658</v>
      </c>
      <c r="AB16" s="1">
        <f>AB10-AB15</f>
        <v>1132.7012727139931</v>
      </c>
      <c r="AC16" s="1">
        <f>AC10-AC15</f>
        <v>1193.0639716298494</v>
      </c>
      <c r="AD16" s="1">
        <f>AD10-AD15</f>
        <v>1193.0639716298494</v>
      </c>
      <c r="AE16" s="1">
        <f>AE10-AE15</f>
        <v>1221.1706942788378</v>
      </c>
      <c r="AF16" s="1">
        <f>AF10-AF15</f>
        <v>1221.1706942788378</v>
      </c>
      <c r="AG16" s="1">
        <f>AG10-AG15</f>
        <v>1249.7101288368117</v>
      </c>
      <c r="AH16" s="1">
        <f>AH10-AH15</f>
        <v>1249.7101288368117</v>
      </c>
      <c r="AI16" s="1">
        <f>AI10-AI15</f>
        <v>1278.6888691350487</v>
      </c>
      <c r="AJ16" s="1">
        <f>AJ10-AJ15</f>
        <v>1278.6888691350487</v>
      </c>
      <c r="AK16" s="1">
        <f>AK10-AK15</f>
        <v>1308.1136080797771</v>
      </c>
      <c r="AL16" s="1">
        <f>AL10-AL15</f>
        <v>1308.1136080797771</v>
      </c>
      <c r="AM16" s="1">
        <f>AM10-AM15</f>
        <v>1337.9911391114676</v>
      </c>
      <c r="AN16" s="1">
        <f>AN10-AN15</f>
        <v>1337.9911391114676</v>
      </c>
      <c r="AO16" s="1">
        <f>AO10-AO15</f>
        <v>1368.328357685003</v>
      </c>
      <c r="AP16" s="1">
        <f>AP10-AP15</f>
        <v>1368.328357685003</v>
      </c>
      <c r="AQ16" s="1">
        <f>AQ10-AQ15</f>
        <v>1399.1322627710078</v>
      </c>
      <c r="AR16" s="1">
        <f>AR10-AR15</f>
        <v>1399.1322627710078</v>
      </c>
      <c r="AS16" s="1">
        <f>AS10-AS15</f>
        <v>2049.159958378615</v>
      </c>
      <c r="AT16" s="1">
        <f>AT10-AT15</f>
        <v>2049.159958378615</v>
      </c>
      <c r="AU16" s="1">
        <f>AU10-AU15</f>
        <v>2080.9186550999807</v>
      </c>
      <c r="AV16" s="1">
        <f>AV10-AV15</f>
        <v>2080.9186550999807</v>
      </c>
      <c r="AW16" s="1">
        <f>AW10-AW15</f>
        <v>2113.16567167683</v>
      </c>
      <c r="AX16" s="1">
        <f>AX10-AX15</f>
        <v>2113.16567167683</v>
      </c>
      <c r="AY16" s="1">
        <f>AY10-AY15</f>
        <v>2145.908436589337</v>
      </c>
      <c r="AZ16" s="1">
        <f>AZ10-AZ15</f>
        <v>2145.908436589337</v>
      </c>
      <c r="BA16" s="1">
        <f>BA10-BA15</f>
        <v>2179.154489667638</v>
      </c>
      <c r="BB16" s="1">
        <f>BB10-BB15</f>
        <v>2179.154489667638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B14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</cols>
  <sheetData>
    <row r="1">
      <c r="A1" s="1" t="inlineStr">
        <is>
          <t>Generic Solar PV — Cash Flow</t>
        </is>
      </c>
    </row>
    <row r="3">
      <c r="A3" t="inlineStr">
        <is>
          <t>Period</t>
        </is>
      </c>
      <c r="C3" s="1" t="inlineStr">
        <is>
          <t>P1</t>
        </is>
      </c>
      <c r="D3" s="1" t="inlineStr">
        <is>
          <t>P2</t>
        </is>
      </c>
      <c r="E3" s="1" t="inlineStr">
        <is>
          <t>P3</t>
        </is>
      </c>
      <c r="F3" s="1" t="inlineStr">
        <is>
          <t>P4</t>
        </is>
      </c>
      <c r="G3" s="1" t="inlineStr">
        <is>
          <t>P5</t>
        </is>
      </c>
      <c r="H3" s="1" t="inlineStr">
        <is>
          <t>P6</t>
        </is>
      </c>
      <c r="I3" s="1" t="inlineStr">
        <is>
          <t>P7</t>
        </is>
      </c>
      <c r="J3" s="1" t="inlineStr">
        <is>
          <t>P8</t>
        </is>
      </c>
      <c r="K3" s="1" t="inlineStr">
        <is>
          <t>P9</t>
        </is>
      </c>
      <c r="L3" s="1" t="inlineStr">
        <is>
          <t>P10</t>
        </is>
      </c>
      <c r="M3" s="1" t="inlineStr">
        <is>
          <t>P11</t>
        </is>
      </c>
      <c r="N3" s="1" t="inlineStr">
        <is>
          <t>P12</t>
        </is>
      </c>
      <c r="O3" s="1" t="inlineStr">
        <is>
          <t>P13</t>
        </is>
      </c>
      <c r="P3" s="1" t="inlineStr">
        <is>
          <t>P14</t>
        </is>
      </c>
      <c r="Q3" s="1" t="inlineStr">
        <is>
          <t>P15</t>
        </is>
      </c>
      <c r="R3" s="1" t="inlineStr">
        <is>
          <t>P16</t>
        </is>
      </c>
      <c r="S3" s="1" t="inlineStr">
        <is>
          <t>P17</t>
        </is>
      </c>
      <c r="T3" s="1" t="inlineStr">
        <is>
          <t>P18</t>
        </is>
      </c>
      <c r="U3" s="1" t="inlineStr">
        <is>
          <t>P19</t>
        </is>
      </c>
      <c r="V3" s="1" t="inlineStr">
        <is>
          <t>P20</t>
        </is>
      </c>
      <c r="W3" s="1" t="inlineStr">
        <is>
          <t>P21</t>
        </is>
      </c>
      <c r="X3" s="1" t="inlineStr">
        <is>
          <t>P22</t>
        </is>
      </c>
      <c r="Y3" s="1" t="inlineStr">
        <is>
          <t>P23</t>
        </is>
      </c>
      <c r="Z3" s="1" t="inlineStr">
        <is>
          <t>P24</t>
        </is>
      </c>
      <c r="AA3" s="1" t="inlineStr">
        <is>
          <t>P25</t>
        </is>
      </c>
      <c r="AB3" s="1" t="inlineStr">
        <is>
          <t>P26</t>
        </is>
      </c>
      <c r="AC3" s="1" t="inlineStr">
        <is>
          <t>P27</t>
        </is>
      </c>
      <c r="AD3" s="1" t="inlineStr">
        <is>
          <t>P28</t>
        </is>
      </c>
      <c r="AE3" s="1" t="inlineStr">
        <is>
          <t>P29</t>
        </is>
      </c>
      <c r="AF3" s="1" t="inlineStr">
        <is>
          <t>P30</t>
        </is>
      </c>
      <c r="AG3" s="1" t="inlineStr">
        <is>
          <t>P31</t>
        </is>
      </c>
      <c r="AH3" s="1" t="inlineStr">
        <is>
          <t>P32</t>
        </is>
      </c>
      <c r="AI3" s="1" t="inlineStr">
        <is>
          <t>P33</t>
        </is>
      </c>
      <c r="AJ3" s="1" t="inlineStr">
        <is>
          <t>P34</t>
        </is>
      </c>
      <c r="AK3" s="1" t="inlineStr">
        <is>
          <t>P35</t>
        </is>
      </c>
      <c r="AL3" s="1" t="inlineStr">
        <is>
          <t>P36</t>
        </is>
      </c>
      <c r="AM3" s="1" t="inlineStr">
        <is>
          <t>P37</t>
        </is>
      </c>
      <c r="AN3" s="1" t="inlineStr">
        <is>
          <t>P38</t>
        </is>
      </c>
      <c r="AO3" s="1" t="inlineStr">
        <is>
          <t>P39</t>
        </is>
      </c>
      <c r="AP3" s="1" t="inlineStr">
        <is>
          <t>P40</t>
        </is>
      </c>
      <c r="AQ3" s="1" t="inlineStr">
        <is>
          <t>P41</t>
        </is>
      </c>
      <c r="AR3" s="1" t="inlineStr">
        <is>
          <t>P42</t>
        </is>
      </c>
      <c r="AS3" s="1" t="inlineStr">
        <is>
          <t>P43</t>
        </is>
      </c>
      <c r="AT3" s="1" t="inlineStr">
        <is>
          <t>P44</t>
        </is>
      </c>
      <c r="AU3" s="1" t="inlineStr">
        <is>
          <t>P45</t>
        </is>
      </c>
      <c r="AV3" s="1" t="inlineStr">
        <is>
          <t>P46</t>
        </is>
      </c>
      <c r="AW3" s="1" t="inlineStr">
        <is>
          <t>P47</t>
        </is>
      </c>
      <c r="AX3" s="1" t="inlineStr">
        <is>
          <t>P48</t>
        </is>
      </c>
      <c r="AY3" s="1" t="inlineStr">
        <is>
          <t>P49</t>
        </is>
      </c>
      <c r="AZ3" s="1" t="inlineStr">
        <is>
          <t>P50</t>
        </is>
      </c>
      <c r="BA3" s="1" t="inlineStr">
        <is>
          <t>P51</t>
        </is>
      </c>
      <c r="BB3" s="1" t="inlineStr">
        <is>
          <t>P52</t>
        </is>
      </c>
    </row>
    <row r="4">
      <c r="A4" t="inlineStr">
        <is>
          <t>Period end date</t>
        </is>
      </c>
      <c r="C4" s="4" t="n">
        <v>47665</v>
      </c>
      <c r="D4" s="4" t="n">
        <v>47849</v>
      </c>
      <c r="E4" s="4" t="n">
        <v>48030</v>
      </c>
      <c r="F4" s="4" t="n">
        <v>48214</v>
      </c>
      <c r="G4" s="4" t="n">
        <v>48396</v>
      </c>
      <c r="H4" s="4" t="n">
        <v>48580</v>
      </c>
      <c r="I4" s="4" t="n">
        <v>48761</v>
      </c>
      <c r="J4" s="4" t="n">
        <v>48945</v>
      </c>
      <c r="K4" s="4" t="n">
        <v>49126</v>
      </c>
      <c r="L4" s="4" t="n">
        <v>49310</v>
      </c>
      <c r="M4" s="4" t="n">
        <v>49491</v>
      </c>
      <c r="N4" s="4" t="n">
        <v>49675</v>
      </c>
      <c r="O4" s="4" t="n">
        <v>49857</v>
      </c>
      <c r="P4" s="4" t="n">
        <v>50041</v>
      </c>
      <c r="Q4" s="4" t="n">
        <v>50222</v>
      </c>
      <c r="R4" s="4" t="n">
        <v>50406</v>
      </c>
      <c r="S4" s="4" t="n">
        <v>50587</v>
      </c>
      <c r="T4" s="4" t="n">
        <v>50771</v>
      </c>
      <c r="U4" s="4" t="n">
        <v>50952</v>
      </c>
      <c r="V4" s="4" t="n">
        <v>51136</v>
      </c>
      <c r="W4" s="4" t="n">
        <v>51318</v>
      </c>
      <c r="X4" s="4" t="n">
        <v>51502</v>
      </c>
      <c r="Y4" s="4" t="n">
        <v>51683</v>
      </c>
      <c r="Z4" s="4" t="n">
        <v>51867</v>
      </c>
      <c r="AA4" s="4" t="n">
        <v>52048</v>
      </c>
      <c r="AB4" s="4" t="n">
        <v>52232</v>
      </c>
      <c r="AC4" s="4" t="n">
        <v>52413</v>
      </c>
      <c r="AD4" s="4" t="n">
        <v>52597</v>
      </c>
      <c r="AE4" s="4" t="n">
        <v>52779</v>
      </c>
      <c r="AF4" s="4" t="n">
        <v>52963</v>
      </c>
      <c r="AG4" s="4" t="n">
        <v>53144</v>
      </c>
      <c r="AH4" s="4" t="n">
        <v>53328</v>
      </c>
      <c r="AI4" s="4" t="n">
        <v>53509</v>
      </c>
      <c r="AJ4" s="4" t="n">
        <v>53693</v>
      </c>
      <c r="AK4" s="4" t="n">
        <v>53874</v>
      </c>
      <c r="AL4" s="4" t="n">
        <v>54058</v>
      </c>
      <c r="AM4" s="4" t="n">
        <v>54240</v>
      </c>
      <c r="AN4" s="4" t="n">
        <v>54424</v>
      </c>
      <c r="AO4" s="4" t="n">
        <v>54605</v>
      </c>
      <c r="AP4" s="4" t="n">
        <v>54789</v>
      </c>
      <c r="AQ4" s="4" t="n">
        <v>54970</v>
      </c>
      <c r="AR4" s="4" t="n">
        <v>55154</v>
      </c>
      <c r="AS4" s="4" t="n">
        <v>55335</v>
      </c>
      <c r="AT4" s="4" t="n">
        <v>55519</v>
      </c>
      <c r="AU4" s="4" t="n">
        <v>55701</v>
      </c>
      <c r="AV4" s="4" t="n">
        <v>55885</v>
      </c>
      <c r="AW4" s="4" t="n">
        <v>56066</v>
      </c>
      <c r="AX4" s="4" t="n">
        <v>56250</v>
      </c>
      <c r="AY4" s="4" t="n">
        <v>56431</v>
      </c>
      <c r="AZ4" s="4" t="n">
        <v>56615</v>
      </c>
      <c r="BA4" s="4" t="n">
        <v>56796</v>
      </c>
      <c r="BB4" s="4" t="n">
        <v>56980</v>
      </c>
    </row>
    <row r="6">
      <c r="A6" t="inlineStr">
        <is>
          <t>Capex (construction, outflow)</t>
        </is>
      </c>
      <c r="C6">
        <f>-'CapEx'!C11</f>
        <v>-17000.0</v>
      </c>
      <c r="D6">
        <f>-'CapEx'!D11</f>
        <v>-16000.0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</row>
    <row r="7">
      <c r="A7" t="inlineStr">
        <is>
          <t>EBITDA</t>
        </is>
      </c>
      <c r="C7">
        <f>'P&amp;L'!C7</f>
        <v>0.0</v>
      </c>
      <c r="D7">
        <f>'P&amp;L'!D7</f>
        <v>0.0</v>
      </c>
      <c r="E7">
        <f>'P&amp;L'!E7</f>
        <v>1831.45625</v>
      </c>
      <c r="F7">
        <f>'P&amp;L'!F7</f>
        <v>1831.45625</v>
      </c>
      <c r="G7">
        <f>'P&amp;L'!G7</f>
        <v>1859.8378335000004</v>
      </c>
      <c r="H7">
        <f>'P&amp;L'!H7</f>
        <v>1859.8378335000004</v>
      </c>
      <c r="I7">
        <f>'P&amp;L'!I7</f>
        <v>1888.6557478093205</v>
      </c>
      <c r="J7">
        <f>'P&amp;L'!J7</f>
        <v>1888.6557478093205</v>
      </c>
      <c r="K7">
        <f>'P&amp;L'!K7</f>
        <v>1917.9166292344448</v>
      </c>
      <c r="L7">
        <f>'P&amp;L'!L7</f>
        <v>1917.9166292344448</v>
      </c>
      <c r="M7">
        <f>'P&amp;L'!M7</f>
        <v>1947.6272135302565</v>
      </c>
      <c r="N7">
        <f>'P&amp;L'!N7</f>
        <v>1947.6272135302565</v>
      </c>
      <c r="O7">
        <f>'P&amp;L'!O7</f>
        <v>1977.7943373592261</v>
      </c>
      <c r="P7">
        <f>'P&amp;L'!P7</f>
        <v>1977.7943373592261</v>
      </c>
      <c r="Q7">
        <f>'P&amp;L'!Q7</f>
        <v>2008.4249397713452</v>
      </c>
      <c r="R7">
        <f>'P&amp;L'!R7</f>
        <v>2008.4249397713452</v>
      </c>
      <c r="S7">
        <f>'P&amp;L'!S7</f>
        <v>2039.526063705091</v>
      </c>
      <c r="T7">
        <f>'P&amp;L'!T7</f>
        <v>2039.526063705091</v>
      </c>
      <c r="U7">
        <f>'P&amp;L'!U7</f>
        <v>2071.1048575097147</v>
      </c>
      <c r="V7">
        <f>'P&amp;L'!V7</f>
        <v>2071.1048575097147</v>
      </c>
      <c r="W7">
        <f>'P&amp;L'!W7</f>
        <v>2103.1685764891163</v>
      </c>
      <c r="X7">
        <f>'P&amp;L'!X7</f>
        <v>2103.1685764891163</v>
      </c>
      <c r="Y7">
        <f>'P&amp;L'!Y7</f>
        <v>2342.497031328705</v>
      </c>
      <c r="Z7">
        <f>'P&amp;L'!Z7</f>
        <v>2342.497031328705</v>
      </c>
      <c r="AA7">
        <f>'P&amp;L'!AA7</f>
        <v>2378.844619593078</v>
      </c>
      <c r="AB7">
        <f>'P&amp;L'!AB7</f>
        <v>2378.844619593078</v>
      </c>
      <c r="AC7">
        <f>'P&amp;L'!AC7</f>
        <v>2415.7519621731326</v>
      </c>
      <c r="AD7">
        <f>'P&amp;L'!AD7</f>
        <v>2415.7519621731326</v>
      </c>
      <c r="AE7">
        <f>'P&amp;L'!AE7</f>
        <v>2453.227592371784</v>
      </c>
      <c r="AF7">
        <f>'P&amp;L'!AF7</f>
        <v>2453.227592371784</v>
      </c>
      <c r="AG7">
        <f>'P&amp;L'!AG7</f>
        <v>2491.2801717824154</v>
      </c>
      <c r="AH7">
        <f>'P&amp;L'!AH7</f>
        <v>2491.2801717824154</v>
      </c>
      <c r="AI7">
        <f>'P&amp;L'!AI7</f>
        <v>2529.9184921800647</v>
      </c>
      <c r="AJ7">
        <f>'P&amp;L'!AJ7</f>
        <v>2529.9184921800647</v>
      </c>
      <c r="AK7">
        <f>'P&amp;L'!AK7</f>
        <v>2569.151477439703</v>
      </c>
      <c r="AL7">
        <f>'P&amp;L'!AL7</f>
        <v>2569.151477439703</v>
      </c>
      <c r="AM7">
        <f>'P&amp;L'!AM7</f>
        <v>2608.988185481957</v>
      </c>
      <c r="AN7">
        <f>'P&amp;L'!AN7</f>
        <v>2608.988185481957</v>
      </c>
      <c r="AO7">
        <f>'P&amp;L'!AO7</f>
        <v>2649.437810246671</v>
      </c>
      <c r="AP7">
        <f>'P&amp;L'!AP7</f>
        <v>2649.437810246671</v>
      </c>
      <c r="AQ7">
        <f>'P&amp;L'!AQ7</f>
        <v>2690.5096836946773</v>
      </c>
      <c r="AR7">
        <f>'P&amp;L'!AR7</f>
        <v>2690.5096836946773</v>
      </c>
      <c r="AS7">
        <f>'P&amp;L'!AS7</f>
        <v>2732.2132778381533</v>
      </c>
      <c r="AT7">
        <f>'P&amp;L'!AT7</f>
        <v>2732.2132778381533</v>
      </c>
      <c r="AU7">
        <f>'P&amp;L'!AU7</f>
        <v>2774.5582067999744</v>
      </c>
      <c r="AV7">
        <f>'P&amp;L'!AV7</f>
        <v>2774.5582067999744</v>
      </c>
      <c r="AW7">
        <f>'P&amp;L'!AW7</f>
        <v>2817.5542289024397</v>
      </c>
      <c r="AX7">
        <f>'P&amp;L'!AX7</f>
        <v>2817.5542289024397</v>
      </c>
      <c r="AY7">
        <f>'P&amp;L'!AY7</f>
        <v>2861.211248785782</v>
      </c>
      <c r="AZ7">
        <f>'P&amp;L'!AZ7</f>
        <v>2861.211248785782</v>
      </c>
      <c r="BA7">
        <f>'P&amp;L'!BA7</f>
        <v>2905.5393195568504</v>
      </c>
      <c r="BB7">
        <f>'P&amp;L'!BB7</f>
        <v>2905.5393195568504</v>
      </c>
    </row>
    <row r="8">
      <c r="A8" t="inlineStr">
        <is>
          <t>Tax</t>
        </is>
      </c>
      <c r="C8">
        <f>'P&amp;L'!C15</f>
        <v>0.0</v>
      </c>
      <c r="D8">
        <f>'P&amp;L'!D15</f>
        <v>0.0</v>
      </c>
      <c r="E8">
        <f>'P&amp;L'!E15</f>
        <v>81.45781249999999</v>
      </c>
      <c r="F8">
        <f>'P&amp;L'!F15</f>
        <v>85.82969482421873</v>
      </c>
      <c r="G8">
        <f>'P&amp;L'!G15</f>
        <v>97.41719978735364</v>
      </c>
      <c r="H8">
        <f>'P&amp;L'!H15</f>
        <v>102.15479399201365</v>
      </c>
      <c r="I8">
        <f>'P&amp;L'!I15</f>
        <v>114.22715061463185</v>
      </c>
      <c r="J8">
        <f>'P&amp;L'!J15</f>
        <v>119.35272228171331</v>
      </c>
      <c r="K8">
        <f>'P&amp;L'!K15</f>
        <v>131.93446752592064</v>
      </c>
      <c r="L8">
        <f>'P&amp;L'!L15</f>
        <v>137.4715521981384</v>
      </c>
      <c r="M8">
        <f>'P&amp;L'!M15</f>
        <v>150.58855277279508</v>
      </c>
      <c r="N8">
        <f>'P&amp;L'!N15</f>
        <v>156.56202718916427</v>
      </c>
      <c r="O8">
        <f>'P&amp;L'!O15</f>
        <v>170.241553109226</v>
      </c>
      <c r="P8">
        <f>'P&amp;L'!P15</f>
        <v>176.67771041872544</v>
      </c>
      <c r="Q8">
        <f>'P&amp;L'!Q15</f>
        <v>190.9485126572659</v>
      </c>
      <c r="R8">
        <f>'P&amp;L'!R15</f>
        <v>197.87514183249272</v>
      </c>
      <c r="S8">
        <f>'P&amp;L'!S15</f>
        <v>212.76753429347474</v>
      </c>
      <c r="T8">
        <f>'P&amp;L'!T15</f>
        <v>220.2140039785556</v>
      </c>
      <c r="U8">
        <f>'P&amp;L'!U15</f>
        <v>235.75995003113212</v>
      </c>
      <c r="V8">
        <f>'P&amp;L'!V15</f>
        <v>243.75729707122105</v>
      </c>
      <c r="W8">
        <f>'P&amp;L'!W15</f>
        <v>259.99050089976276</v>
      </c>
      <c r="X8">
        <f>'P&amp;L'!X15</f>
        <v>268.5715238132452</v>
      </c>
      <c r="Y8">
        <f>'P&amp;L'!Y15</f>
        <v>337.22063856674566</v>
      </c>
      <c r="Z8">
        <f>'P&amp;L'!Z15</f>
        <v>347.3084715934368</v>
      </c>
      <c r="AA8">
        <f>'P&amp;L'!AA15</f>
        <v>366.76061709445526</v>
      </c>
      <c r="AB8">
        <f>'P&amp;L'!AB15</f>
        <v>377.5670909046644</v>
      </c>
      <c r="AC8">
        <f>'P&amp;L'!AC15</f>
        <v>397.68799054328315</v>
      </c>
      <c r="AD8">
        <f>'P&amp;L'!AD15</f>
        <v>397.68799054328315</v>
      </c>
      <c r="AE8">
        <f>'P&amp;L'!AE15</f>
        <v>407.05689809294597</v>
      </c>
      <c r="AF8">
        <f>'P&amp;L'!AF15</f>
        <v>407.05689809294597</v>
      </c>
      <c r="AG8">
        <f>'P&amp;L'!AG15</f>
        <v>416.57004294560386</v>
      </c>
      <c r="AH8">
        <f>'P&amp;L'!AH15</f>
        <v>416.57004294560386</v>
      </c>
      <c r="AI8">
        <f>'P&amp;L'!AI15</f>
        <v>426.2296230450162</v>
      </c>
      <c r="AJ8">
        <f>'P&amp;L'!AJ15</f>
        <v>426.2296230450162</v>
      </c>
      <c r="AK8">
        <f>'P&amp;L'!AK15</f>
        <v>436.0378693599257</v>
      </c>
      <c r="AL8">
        <f>'P&amp;L'!AL15</f>
        <v>436.0378693599257</v>
      </c>
      <c r="AM8">
        <f>'P&amp;L'!AM15</f>
        <v>445.9970463704892</v>
      </c>
      <c r="AN8">
        <f>'P&amp;L'!AN15</f>
        <v>445.9970463704892</v>
      </c>
      <c r="AO8">
        <f>'P&amp;L'!AO15</f>
        <v>456.1094525616677</v>
      </c>
      <c r="AP8">
        <f>'P&amp;L'!AP15</f>
        <v>456.1094525616677</v>
      </c>
      <c r="AQ8">
        <f>'P&amp;L'!AQ15</f>
        <v>466.3774209236693</v>
      </c>
      <c r="AR8">
        <f>'P&amp;L'!AR15</f>
        <v>466.3774209236693</v>
      </c>
      <c r="AS8">
        <f>'P&amp;L'!AS15</f>
        <v>683.0533194595383</v>
      </c>
      <c r="AT8">
        <f>'P&amp;L'!AT15</f>
        <v>683.0533194595383</v>
      </c>
      <c r="AU8">
        <f>'P&amp;L'!AU15</f>
        <v>693.6395516999936</v>
      </c>
      <c r="AV8">
        <f>'P&amp;L'!AV15</f>
        <v>693.6395516999936</v>
      </c>
      <c r="AW8">
        <f>'P&amp;L'!AW15</f>
        <v>704.3885572256099</v>
      </c>
      <c r="AX8">
        <f>'P&amp;L'!AX15</f>
        <v>704.3885572256099</v>
      </c>
      <c r="AY8">
        <f>'P&amp;L'!AY15</f>
        <v>715.3028121964455</v>
      </c>
      <c r="AZ8">
        <f>'P&amp;L'!AZ15</f>
        <v>715.3028121964455</v>
      </c>
      <c r="BA8">
        <f>'P&amp;L'!BA15</f>
        <v>726.3848298892126</v>
      </c>
      <c r="BB8">
        <f>'P&amp;L'!BB15</f>
        <v>726.3848298892126</v>
      </c>
    </row>
    <row r="9">
      <c r="A9" s="1" t="inlineStr">
        <is>
          <t>CFADS (true, = EBITDA - Tax)</t>
        </is>
      </c>
      <c r="C9" s="1">
        <f>C7-C8</f>
        <v>0.0</v>
      </c>
      <c r="D9" s="1">
        <f>D7-D8</f>
        <v>0.0</v>
      </c>
      <c r="E9" s="1">
        <f>E7-E8</f>
        <v>1749.9984375</v>
      </c>
      <c r="F9" s="1">
        <f>F7-F8</f>
        <v>1745.6265551757813</v>
      </c>
      <c r="G9" s="1">
        <f>G7-G8</f>
        <v>1762.4206337126468</v>
      </c>
      <c r="H9" s="1">
        <f>H7-H8</f>
        <v>1757.683039507987</v>
      </c>
      <c r="I9" s="1">
        <f>I7-I8</f>
        <v>1774.4285971946886</v>
      </c>
      <c r="J9" s="1">
        <f>J7-J8</f>
        <v>1769.3030255276071</v>
      </c>
      <c r="K9" s="1">
        <f>K7-K8</f>
        <v>1785.9821617085242</v>
      </c>
      <c r="L9" s="1">
        <f>L7-L8</f>
        <v>1780.4450770363064</v>
      </c>
      <c r="M9" s="1">
        <f>M7-M8</f>
        <v>1797.0386607574615</v>
      </c>
      <c r="N9" s="1">
        <f>N7-N8</f>
        <v>1791.0651863410922</v>
      </c>
      <c r="O9" s="1">
        <f>O7-O8</f>
        <v>1807.55278425</v>
      </c>
      <c r="P9" s="1">
        <f>P7-P8</f>
        <v>1801.1166269405007</v>
      </c>
      <c r="Q9" s="1">
        <f>Q7-Q8</f>
        <v>1817.4764271140793</v>
      </c>
      <c r="R9" s="1">
        <f>R7-R8</f>
        <v>1810.5497979388524</v>
      </c>
      <c r="S9" s="1">
        <f>S7-S8</f>
        <v>1826.7585294116163</v>
      </c>
      <c r="T9" s="1">
        <f>T7-T8</f>
        <v>1819.3120597265354</v>
      </c>
      <c r="U9" s="1">
        <f>U7-U8</f>
        <v>1835.3449074785826</v>
      </c>
      <c r="V9" s="1">
        <f>V7-V8</f>
        <v>1827.3475604384937</v>
      </c>
      <c r="W9" s="1">
        <f>W7-W8</f>
        <v>1843.1780755893535</v>
      </c>
      <c r="X9" s="1">
        <f>X7-X8</f>
        <v>1834.597052675871</v>
      </c>
      <c r="Y9" s="1">
        <f>Y7-Y8</f>
        <v>2005.2763927619592</v>
      </c>
      <c r="Z9" s="1">
        <f>Z7-Z8</f>
        <v>1995.188559735268</v>
      </c>
      <c r="AA9" s="1">
        <f>AA7-AA8</f>
        <v>2012.0840024986226</v>
      </c>
      <c r="AB9" s="1">
        <f>AB7-AB8</f>
        <v>2001.2775286884134</v>
      </c>
      <c r="AC9" s="1">
        <f>AC7-AC8</f>
        <v>2018.0639716298494</v>
      </c>
      <c r="AD9" s="1">
        <f>AD7-AD8</f>
        <v>2018.0639716298494</v>
      </c>
      <c r="AE9" s="1">
        <f>AE7-AE8</f>
        <v>2046.1706942788378</v>
      </c>
      <c r="AF9" s="1">
        <f>AF7-AF8</f>
        <v>2046.1706942788378</v>
      </c>
      <c r="AG9" s="1">
        <f>AG7-AG8</f>
        <v>2074.7101288368117</v>
      </c>
      <c r="AH9" s="1">
        <f>AH7-AH8</f>
        <v>2074.7101288368117</v>
      </c>
      <c r="AI9" s="1">
        <f>AI7-AI8</f>
        <v>2103.6888691350487</v>
      </c>
      <c r="AJ9" s="1">
        <f>AJ7-AJ8</f>
        <v>2103.6888691350487</v>
      </c>
      <c r="AK9" s="1">
        <f>AK7-AK8</f>
        <v>2133.113608079777</v>
      </c>
      <c r="AL9" s="1">
        <f>AL7-AL8</f>
        <v>2133.113608079777</v>
      </c>
      <c r="AM9" s="1">
        <f>AM7-AM8</f>
        <v>2162.9911391114674</v>
      </c>
      <c r="AN9" s="1">
        <f>AN7-AN8</f>
        <v>2162.9911391114674</v>
      </c>
      <c r="AO9" s="1">
        <f>AO7-AO8</f>
        <v>2193.328357685003</v>
      </c>
      <c r="AP9" s="1">
        <f>AP7-AP8</f>
        <v>2193.328357685003</v>
      </c>
      <c r="AQ9" s="1">
        <f>AQ7-AQ8</f>
        <v>2224.132262771008</v>
      </c>
      <c r="AR9" s="1">
        <f>AR7-AR8</f>
        <v>2224.132262771008</v>
      </c>
      <c r="AS9" s="1">
        <f>AS7-AS8</f>
        <v>2049.159958378615</v>
      </c>
      <c r="AT9" s="1">
        <f>AT7-AT8</f>
        <v>2049.159958378615</v>
      </c>
      <c r="AU9" s="1">
        <f>AU7-AU8</f>
        <v>2080.9186550999807</v>
      </c>
      <c r="AV9" s="1">
        <f>AV7-AV8</f>
        <v>2080.9186550999807</v>
      </c>
      <c r="AW9" s="1">
        <f>AW7-AW8</f>
        <v>2113.16567167683</v>
      </c>
      <c r="AX9" s="1">
        <f>AX7-AX8</f>
        <v>2113.16567167683</v>
      </c>
      <c r="AY9" s="1">
        <f>AY7-AY8</f>
        <v>2145.908436589337</v>
      </c>
      <c r="AZ9" s="1">
        <f>AZ7-AZ8</f>
        <v>2145.908436589337</v>
      </c>
      <c r="BA9" s="1">
        <f>BA7-BA8</f>
        <v>2179.154489667638</v>
      </c>
      <c r="BB9" s="1">
        <f>BB7-BB8</f>
        <v>2179.154489667638</v>
      </c>
    </row>
    <row r="10">
      <c r="A10" t="inlineStr">
        <is>
          <t>Senior debt service</t>
        </is>
      </c>
      <c r="C10">
        <f>'Debt Service'!C22</f>
        <v>0.0</v>
      </c>
      <c r="D10">
        <f>'Debt Service'!D22</f>
        <v>0.0</v>
      </c>
      <c r="E10">
        <f>'Debt Service'!E22</f>
        <v>1316.53515625</v>
      </c>
      <c r="F10">
        <f>'Debt Service'!F22</f>
        <v>1316.53515625</v>
      </c>
      <c r="G10">
        <f>'Debt Service'!G22</f>
        <v>1334.2736459375003</v>
      </c>
      <c r="H10">
        <f>'Debt Service'!H22</f>
        <v>1334.2736459375003</v>
      </c>
      <c r="I10">
        <f>'Debt Service'!I22</f>
        <v>1352.2848423808255</v>
      </c>
      <c r="J10">
        <f>'Debt Service'!J22</f>
        <v>1352.2848423808255</v>
      </c>
      <c r="K10">
        <f>'Debt Service'!K22</f>
        <v>1370.572893271528</v>
      </c>
      <c r="L10">
        <f>'Debt Service'!L22</f>
        <v>1370.572893271528</v>
      </c>
      <c r="M10">
        <f>'Debt Service'!M22</f>
        <v>1389.1420084564104</v>
      </c>
      <c r="N10">
        <f>'Debt Service'!N22</f>
        <v>1389.1420084564104</v>
      </c>
      <c r="O10">
        <f>'Debt Service'!O22</f>
        <v>1407.9964608495163</v>
      </c>
      <c r="P10">
        <f>'Debt Service'!P22</f>
        <v>1407.9964608495163</v>
      </c>
      <c r="Q10">
        <f>'Debt Service'!Q22</f>
        <v>1427.140587357091</v>
      </c>
      <c r="R10">
        <f>'Debt Service'!R22</f>
        <v>1427.140587357091</v>
      </c>
      <c r="S10">
        <f>'Debt Service'!S22</f>
        <v>1446.578789815682</v>
      </c>
      <c r="T10">
        <f>'Debt Service'!T22</f>
        <v>1446.578789815682</v>
      </c>
      <c r="U10">
        <f>'Debt Service'!U22</f>
        <v>1466.3155359435718</v>
      </c>
      <c r="V10">
        <f>'Debt Service'!V22</f>
        <v>1466.3155359435718</v>
      </c>
      <c r="W10">
        <f>'Debt Service'!W22</f>
        <v>1486.3553603056978</v>
      </c>
      <c r="X10">
        <f>'Debt Service'!X22</f>
        <v>1486.3553603056978</v>
      </c>
      <c r="Y10">
        <f>'Debt Service'!Y22</f>
        <v>1635.9356445804406</v>
      </c>
      <c r="Z10">
        <f>'Debt Service'!Z22</f>
        <v>1635.9356445804406</v>
      </c>
      <c r="AA10">
        <f>'Debt Service'!AA22</f>
        <v>1658.6528872456738</v>
      </c>
      <c r="AB10">
        <f>'Debt Service'!AB22</f>
        <v>1628.167382316978</v>
      </c>
      <c r="AC10">
        <f>'Debt Service'!AC22</f>
        <v>0.0</v>
      </c>
      <c r="AD10">
        <f>'Debt Service'!AD22</f>
        <v>0.0</v>
      </c>
      <c r="AE10">
        <f>'Debt Service'!AE22</f>
        <v>0.0</v>
      </c>
      <c r="AF10">
        <f>'Debt Service'!AF22</f>
        <v>0.0</v>
      </c>
      <c r="AG10">
        <f>'Debt Service'!AG22</f>
        <v>0.0</v>
      </c>
      <c r="AH10">
        <f>'Debt Service'!AH22</f>
        <v>0.0</v>
      </c>
      <c r="AI10">
        <f>'Debt Service'!AI22</f>
        <v>0.0</v>
      </c>
      <c r="AJ10">
        <f>'Debt Service'!AJ22</f>
        <v>0.0</v>
      </c>
      <c r="AK10">
        <f>'Debt Service'!AK22</f>
        <v>0.0</v>
      </c>
      <c r="AL10">
        <f>'Debt Service'!AL22</f>
        <v>0.0</v>
      </c>
      <c r="AM10">
        <f>'Debt Service'!AM22</f>
        <v>0.0</v>
      </c>
      <c r="AN10">
        <f>'Debt Service'!AN22</f>
        <v>0.0</v>
      </c>
      <c r="AO10">
        <f>'Debt Service'!AO22</f>
        <v>0.0</v>
      </c>
      <c r="AP10">
        <f>'Debt Service'!AP22</f>
        <v>0.0</v>
      </c>
      <c r="AQ10">
        <f>'Debt Service'!AQ22</f>
        <v>0.0</v>
      </c>
      <c r="AR10">
        <f>'Debt Service'!AR22</f>
        <v>0.0</v>
      </c>
      <c r="AS10">
        <f>'Debt Service'!AS22</f>
        <v>0.0</v>
      </c>
      <c r="AT10">
        <f>'Debt Service'!AT22</f>
        <v>0.0</v>
      </c>
      <c r="AU10">
        <f>'Debt Service'!AU22</f>
        <v>0.0</v>
      </c>
      <c r="AV10">
        <f>'Debt Service'!AV22</f>
        <v>0.0</v>
      </c>
      <c r="AW10">
        <f>'Debt Service'!AW22</f>
        <v>0.0</v>
      </c>
      <c r="AX10">
        <f>'Debt Service'!AX22</f>
        <v>0.0</v>
      </c>
      <c r="AY10">
        <f>'Debt Service'!AY22</f>
        <v>0.0</v>
      </c>
      <c r="AZ10">
        <f>'Debt Service'!AZ22</f>
        <v>0.0</v>
      </c>
      <c r="BA10">
        <f>'Debt Service'!BA22</f>
        <v>0.0</v>
      </c>
      <c r="BB10">
        <f>'Debt Service'!BB22</f>
        <v>0.0</v>
      </c>
    </row>
    <row r="11">
      <c r="A11" s="1" t="inlineStr">
        <is>
          <t>DSCR (true)</t>
        </is>
      </c>
      <c r="C11" t="str">
        <f>IF(C10=0,"n/a",C9/C10)</f>
        <v>n/a</v>
      </c>
      <c r="D11" t="str">
        <f>IF(D10=0,"n/a",D9/D10)</f>
        <v>n/a</v>
      </c>
      <c r="E11">
        <f>IF(E10=0,"n/a",E9/E10)</f>
        <v>1.3292455041494453</v>
      </c>
      <c r="F11">
        <f>IF(F10=0,"n/a",F9/F10)</f>
        <v>1.3259247555135552</v>
      </c>
      <c r="G11">
        <f>IF(G10=0,"n/a",G9/G10)</f>
        <v>1.3208839424197107</v>
      </c>
      <c r="H11">
        <f>IF(H10=0,"n/a",H9/H10)</f>
        <v>1.317333250836253</v>
      </c>
      <c r="I11">
        <f>IF(I10=0,"n/a",I9/I10)</f>
        <v>1.3121707362116395</v>
      </c>
      <c r="J11">
        <f>IF(J10=0,"n/a",J9/J10)</f>
        <v>1.3083804314574596</v>
      </c>
      <c r="K11">
        <f>IF(K10=0,"n/a",K9/K10)</f>
        <v>1.3030917001761382</v>
      </c>
      <c r="L11">
        <f>IF(L10=0,"n/a",L9/L10)</f>
        <v>1.2990517219309818</v>
      </c>
      <c r="M11">
        <f>IF(M10=0,"n/a",M9/M10)</f>
        <v>1.2936320763593483</v>
      </c>
      <c r="N11">
        <f>IF(N10=0,"n/a",N9/N10)</f>
        <v>1.2893319584592302</v>
      </c>
      <c r="O11">
        <f>IF(O10=0,"n/a",O9/O10)</f>
        <v>1.2837765111706396</v>
      </c>
      <c r="P11">
        <f>IF(P10=0,"n/a",P9/P10)</f>
        <v>1.2792053652278323</v>
      </c>
      <c r="Q11">
        <f>IF(Q10=0,"n/a",Q9/Q10)</f>
        <v>1.2735090314261526</v>
      </c>
      <c r="R11">
        <f>IF(R10=0,"n/a",R9/R10)</f>
        <v>1.2686555297903717</v>
      </c>
      <c r="S11">
        <f>IF(S10=0,"n/a",S9/S10)</f>
        <v>1.2628130194307463</v>
      </c>
      <c r="T11">
        <f>IF(T10=0,"n/a",T9/T10)</f>
        <v>1.2576653774650917</v>
      </c>
      <c r="U11">
        <f>IF(U10=0,"n/a",U9/U10)</f>
        <v>1.2516711870597081</v>
      </c>
      <c r="V11">
        <f>IF(V10=0,"n/a",V9/V10)</f>
        <v>1.2462171447038501</v>
      </c>
      <c r="W11">
        <f>IF(W10=0,"n/a",W9/W10)</f>
        <v>1.2400655488000314</v>
      </c>
      <c r="X11">
        <f>IF(X10=0,"n/a",X9/X10)</f>
        <v>1.2342923513920323</v>
      </c>
      <c r="Y11">
        <f>IF(Y10=0,"n/a",Y9/Y10)</f>
        <v>1.2257672845536913</v>
      </c>
      <c r="Z11">
        <f>IF(Z10=0,"n/a",Z9/Z10)</f>
        <v>1.2196008848789177</v>
      </c>
      <c r="AA11">
        <f>IF(AA10=0,"n/a",AA9/AA10)</f>
        <v>1.2130832303555987</v>
      </c>
      <c r="AB11">
        <f>IF(AB10=0,"n/a",AB9/AB10)</f>
        <v>1.2291595756208293</v>
      </c>
      <c r="AC11" t="str">
        <f>IF(AC10=0,"n/a",AC9/AC10)</f>
        <v>n/a</v>
      </c>
      <c r="AD11" t="str">
        <f>IF(AD10=0,"n/a",AD9/AD10)</f>
        <v>n/a</v>
      </c>
      <c r="AE11" t="str">
        <f>IF(AE10=0,"n/a",AE9/AE10)</f>
        <v>n/a</v>
      </c>
      <c r="AF11" t="str">
        <f>IF(AF10=0,"n/a",AF9/AF10)</f>
        <v>n/a</v>
      </c>
      <c r="AG11" t="str">
        <f>IF(AG10=0,"n/a",AG9/AG10)</f>
        <v>n/a</v>
      </c>
      <c r="AH11" t="str">
        <f>IF(AH10=0,"n/a",AH9/AH10)</f>
        <v>n/a</v>
      </c>
      <c r="AI11" t="str">
        <f>IF(AI10=0,"n/a",AI9/AI10)</f>
        <v>n/a</v>
      </c>
      <c r="AJ11" t="str">
        <f>IF(AJ10=0,"n/a",AJ9/AJ10)</f>
        <v>n/a</v>
      </c>
      <c r="AK11" t="str">
        <f>IF(AK10=0,"n/a",AK9/AK10)</f>
        <v>n/a</v>
      </c>
      <c r="AL11" t="str">
        <f>IF(AL10=0,"n/a",AL9/AL10)</f>
        <v>n/a</v>
      </c>
      <c r="AM11" t="str">
        <f>IF(AM10=0,"n/a",AM9/AM10)</f>
        <v>n/a</v>
      </c>
      <c r="AN11" t="str">
        <f>IF(AN10=0,"n/a",AN9/AN10)</f>
        <v>n/a</v>
      </c>
      <c r="AO11" t="str">
        <f>IF(AO10=0,"n/a",AO9/AO10)</f>
        <v>n/a</v>
      </c>
      <c r="AP11" t="str">
        <f>IF(AP10=0,"n/a",AP9/AP10)</f>
        <v>n/a</v>
      </c>
      <c r="AQ11" t="str">
        <f>IF(AQ10=0,"n/a",AQ9/AQ10)</f>
        <v>n/a</v>
      </c>
      <c r="AR11" t="str">
        <f>IF(AR10=0,"n/a",AR9/AR10)</f>
        <v>n/a</v>
      </c>
      <c r="AS11" t="str">
        <f>IF(AS10=0,"n/a",AS9/AS10)</f>
        <v>n/a</v>
      </c>
      <c r="AT11" t="str">
        <f>IF(AT10=0,"n/a",AT9/AT10)</f>
        <v>n/a</v>
      </c>
      <c r="AU11" t="str">
        <f>IF(AU10=0,"n/a",AU9/AU10)</f>
        <v>n/a</v>
      </c>
      <c r="AV11" t="str">
        <f>IF(AV10=0,"n/a",AV9/AV10)</f>
        <v>n/a</v>
      </c>
      <c r="AW11" t="str">
        <f>IF(AW10=0,"n/a",AW9/AW10)</f>
        <v>n/a</v>
      </c>
      <c r="AX11" t="str">
        <f>IF(AX10=0,"n/a",AX9/AX10)</f>
        <v>n/a</v>
      </c>
      <c r="AY11" t="str">
        <f>IF(AY10=0,"n/a",AY9/AY10)</f>
        <v>n/a</v>
      </c>
      <c r="AZ11" t="str">
        <f>IF(AZ10=0,"n/a",AZ9/AZ10)</f>
        <v>n/a</v>
      </c>
      <c r="BA11" t="str">
        <f>IF(BA10=0,"n/a",BA9/BA10)</f>
        <v>n/a</v>
      </c>
      <c r="BB11" t="str">
        <f>IF(BB10=0,"n/a",BB9/BB10)</f>
        <v>n/a</v>
      </c>
    </row>
    <row r="12">
      <c r="A12" s="1" t="inlineStr">
        <is>
          <t>Unlevered project cash flow</t>
        </is>
      </c>
      <c r="C12" s="1">
        <f>C6+C9</f>
        <v>-17000.0</v>
      </c>
      <c r="D12" s="1">
        <f>D6+D9</f>
        <v>-16000.0</v>
      </c>
      <c r="E12" s="1">
        <f>E6+E9</f>
        <v>1749.9984375</v>
      </c>
      <c r="F12" s="1">
        <f>F6+F9</f>
        <v>1745.6265551757813</v>
      </c>
      <c r="G12" s="1">
        <f>G6+G9</f>
        <v>1762.4206337126468</v>
      </c>
      <c r="H12" s="1">
        <f>H6+H9</f>
        <v>1757.683039507987</v>
      </c>
      <c r="I12" s="1">
        <f>I6+I9</f>
        <v>1774.4285971946886</v>
      </c>
      <c r="J12" s="1">
        <f>J6+J9</f>
        <v>1769.3030255276071</v>
      </c>
      <c r="K12" s="1">
        <f>K6+K9</f>
        <v>1785.9821617085242</v>
      </c>
      <c r="L12" s="1">
        <f>L6+L9</f>
        <v>1780.4450770363064</v>
      </c>
      <c r="M12" s="1">
        <f>M6+M9</f>
        <v>1797.0386607574615</v>
      </c>
      <c r="N12" s="1">
        <f>N6+N9</f>
        <v>1791.0651863410922</v>
      </c>
      <c r="O12" s="1">
        <f>O6+O9</f>
        <v>1807.55278425</v>
      </c>
      <c r="P12" s="1">
        <f>P6+P9</f>
        <v>1801.1166269405007</v>
      </c>
      <c r="Q12" s="1">
        <f>Q6+Q9</f>
        <v>1817.4764271140793</v>
      </c>
      <c r="R12" s="1">
        <f>R6+R9</f>
        <v>1810.5497979388524</v>
      </c>
      <c r="S12" s="1">
        <f>S6+S9</f>
        <v>1826.7585294116163</v>
      </c>
      <c r="T12" s="1">
        <f>T6+T9</f>
        <v>1819.3120597265354</v>
      </c>
      <c r="U12" s="1">
        <f>U6+U9</f>
        <v>1835.3449074785826</v>
      </c>
      <c r="V12" s="1">
        <f>V6+V9</f>
        <v>1827.3475604384937</v>
      </c>
      <c r="W12" s="1">
        <f>W6+W9</f>
        <v>1843.1780755893535</v>
      </c>
      <c r="X12" s="1">
        <f>X6+X9</f>
        <v>1834.597052675871</v>
      </c>
      <c r="Y12" s="1">
        <f>Y6+Y9</f>
        <v>2005.2763927619592</v>
      </c>
      <c r="Z12" s="1">
        <f>Z6+Z9</f>
        <v>1995.188559735268</v>
      </c>
      <c r="AA12" s="1">
        <f>AA6+AA9</f>
        <v>2012.0840024986226</v>
      </c>
      <c r="AB12" s="1">
        <f>AB6+AB9</f>
        <v>2001.2775286884134</v>
      </c>
      <c r="AC12" s="1">
        <f>AC6+AC9</f>
        <v>2018.0639716298494</v>
      </c>
      <c r="AD12" s="1">
        <f>AD6+AD9</f>
        <v>2018.0639716298494</v>
      </c>
      <c r="AE12" s="1">
        <f>AE6+AE9</f>
        <v>2046.1706942788378</v>
      </c>
      <c r="AF12" s="1">
        <f>AF6+AF9</f>
        <v>2046.1706942788378</v>
      </c>
      <c r="AG12" s="1">
        <f>AG6+AG9</f>
        <v>2074.7101288368117</v>
      </c>
      <c r="AH12" s="1">
        <f>AH6+AH9</f>
        <v>2074.7101288368117</v>
      </c>
      <c r="AI12" s="1">
        <f>AI6+AI9</f>
        <v>2103.6888691350487</v>
      </c>
      <c r="AJ12" s="1">
        <f>AJ6+AJ9</f>
        <v>2103.6888691350487</v>
      </c>
      <c r="AK12" s="1">
        <f>AK6+AK9</f>
        <v>2133.113608079777</v>
      </c>
      <c r="AL12" s="1">
        <f>AL6+AL9</f>
        <v>2133.113608079777</v>
      </c>
      <c r="AM12" s="1">
        <f>AM6+AM9</f>
        <v>2162.9911391114674</v>
      </c>
      <c r="AN12" s="1">
        <f>AN6+AN9</f>
        <v>2162.9911391114674</v>
      </c>
      <c r="AO12" s="1">
        <f>AO6+AO9</f>
        <v>2193.328357685003</v>
      </c>
      <c r="AP12" s="1">
        <f>AP6+AP9</f>
        <v>2193.328357685003</v>
      </c>
      <c r="AQ12" s="1">
        <f>AQ6+AQ9</f>
        <v>2224.132262771008</v>
      </c>
      <c r="AR12" s="1">
        <f>AR6+AR9</f>
        <v>2224.132262771008</v>
      </c>
      <c r="AS12" s="1">
        <f>AS6+AS9</f>
        <v>2049.159958378615</v>
      </c>
      <c r="AT12" s="1">
        <f>AT6+AT9</f>
        <v>2049.159958378615</v>
      </c>
      <c r="AU12" s="1">
        <f>AU6+AU9</f>
        <v>2080.9186550999807</v>
      </c>
      <c r="AV12" s="1">
        <f>AV6+AV9</f>
        <v>2080.9186550999807</v>
      </c>
      <c r="AW12" s="1">
        <f>AW6+AW9</f>
        <v>2113.16567167683</v>
      </c>
      <c r="AX12" s="1">
        <f>AX6+AX9</f>
        <v>2113.16567167683</v>
      </c>
      <c r="AY12" s="1">
        <f>AY6+AY9</f>
        <v>2145.908436589337</v>
      </c>
      <c r="AZ12" s="1">
        <f>AZ6+AZ9</f>
        <v>2145.908436589337</v>
      </c>
      <c r="BA12" s="1">
        <f>BA6+BA9</f>
        <v>2179.154489667638</v>
      </c>
      <c r="BB12" s="1">
        <f>BB6+BB9</f>
        <v>2179.154489667638</v>
      </c>
    </row>
    <row r="14">
      <c r="A14" s="1" t="inlineStr">
        <is>
          <t>PROJECT IRR (XIRR)</t>
        </is>
      </c>
      <c r="C14" s="1">
        <f>XIRR(C12:BB12,C4:BB4)</f>
        <v>0.10427401808931996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B13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</cols>
  <sheetData>
    <row r="1">
      <c r="A1" s="1" t="inlineStr">
        <is>
          <t>Generic Solar PV — Equity Cash Flow</t>
        </is>
      </c>
    </row>
    <row r="3">
      <c r="A3" t="inlineStr">
        <is>
          <t>SHL and share capital are combined into a single equity cash flow series per the EQUITY_ONLY method. Senior debt drawn at COD returns capex already funded by equity during construction (construction debt = 0, see IDC tab).</t>
        </is>
      </c>
    </row>
    <row r="5">
      <c r="A5" t="inlineStr">
        <is>
          <t>Period</t>
        </is>
      </c>
      <c r="C5" s="1" t="inlineStr">
        <is>
          <t>P1</t>
        </is>
      </c>
      <c r="D5" s="1" t="inlineStr">
        <is>
          <t>P2</t>
        </is>
      </c>
      <c r="E5" s="1" t="inlineStr">
        <is>
          <t>P3</t>
        </is>
      </c>
      <c r="F5" s="1" t="inlineStr">
        <is>
          <t>P4</t>
        </is>
      </c>
      <c r="G5" s="1" t="inlineStr">
        <is>
          <t>P5</t>
        </is>
      </c>
      <c r="H5" s="1" t="inlineStr">
        <is>
          <t>P6</t>
        </is>
      </c>
      <c r="I5" s="1" t="inlineStr">
        <is>
          <t>P7</t>
        </is>
      </c>
      <c r="J5" s="1" t="inlineStr">
        <is>
          <t>P8</t>
        </is>
      </c>
      <c r="K5" s="1" t="inlineStr">
        <is>
          <t>P9</t>
        </is>
      </c>
      <c r="L5" s="1" t="inlineStr">
        <is>
          <t>P10</t>
        </is>
      </c>
      <c r="M5" s="1" t="inlineStr">
        <is>
          <t>P11</t>
        </is>
      </c>
      <c r="N5" s="1" t="inlineStr">
        <is>
          <t>P12</t>
        </is>
      </c>
      <c r="O5" s="1" t="inlineStr">
        <is>
          <t>P13</t>
        </is>
      </c>
      <c r="P5" s="1" t="inlineStr">
        <is>
          <t>P14</t>
        </is>
      </c>
      <c r="Q5" s="1" t="inlineStr">
        <is>
          <t>P15</t>
        </is>
      </c>
      <c r="R5" s="1" t="inlineStr">
        <is>
          <t>P16</t>
        </is>
      </c>
      <c r="S5" s="1" t="inlineStr">
        <is>
          <t>P17</t>
        </is>
      </c>
      <c r="T5" s="1" t="inlineStr">
        <is>
          <t>P18</t>
        </is>
      </c>
      <c r="U5" s="1" t="inlineStr">
        <is>
          <t>P19</t>
        </is>
      </c>
      <c r="V5" s="1" t="inlineStr">
        <is>
          <t>P20</t>
        </is>
      </c>
      <c r="W5" s="1" t="inlineStr">
        <is>
          <t>P21</t>
        </is>
      </c>
      <c r="X5" s="1" t="inlineStr">
        <is>
          <t>P22</t>
        </is>
      </c>
      <c r="Y5" s="1" t="inlineStr">
        <is>
          <t>P23</t>
        </is>
      </c>
      <c r="Z5" s="1" t="inlineStr">
        <is>
          <t>P24</t>
        </is>
      </c>
      <c r="AA5" s="1" t="inlineStr">
        <is>
          <t>P25</t>
        </is>
      </c>
      <c r="AB5" s="1" t="inlineStr">
        <is>
          <t>P26</t>
        </is>
      </c>
      <c r="AC5" s="1" t="inlineStr">
        <is>
          <t>P27</t>
        </is>
      </c>
      <c r="AD5" s="1" t="inlineStr">
        <is>
          <t>P28</t>
        </is>
      </c>
      <c r="AE5" s="1" t="inlineStr">
        <is>
          <t>P29</t>
        </is>
      </c>
      <c r="AF5" s="1" t="inlineStr">
        <is>
          <t>P30</t>
        </is>
      </c>
      <c r="AG5" s="1" t="inlineStr">
        <is>
          <t>P31</t>
        </is>
      </c>
      <c r="AH5" s="1" t="inlineStr">
        <is>
          <t>P32</t>
        </is>
      </c>
      <c r="AI5" s="1" t="inlineStr">
        <is>
          <t>P33</t>
        </is>
      </c>
      <c r="AJ5" s="1" t="inlineStr">
        <is>
          <t>P34</t>
        </is>
      </c>
      <c r="AK5" s="1" t="inlineStr">
        <is>
          <t>P35</t>
        </is>
      </c>
      <c r="AL5" s="1" t="inlineStr">
        <is>
          <t>P36</t>
        </is>
      </c>
      <c r="AM5" s="1" t="inlineStr">
        <is>
          <t>P37</t>
        </is>
      </c>
      <c r="AN5" s="1" t="inlineStr">
        <is>
          <t>P38</t>
        </is>
      </c>
      <c r="AO5" s="1" t="inlineStr">
        <is>
          <t>P39</t>
        </is>
      </c>
      <c r="AP5" s="1" t="inlineStr">
        <is>
          <t>P40</t>
        </is>
      </c>
      <c r="AQ5" s="1" t="inlineStr">
        <is>
          <t>P41</t>
        </is>
      </c>
      <c r="AR5" s="1" t="inlineStr">
        <is>
          <t>P42</t>
        </is>
      </c>
      <c r="AS5" s="1" t="inlineStr">
        <is>
          <t>P43</t>
        </is>
      </c>
      <c r="AT5" s="1" t="inlineStr">
        <is>
          <t>P44</t>
        </is>
      </c>
      <c r="AU5" s="1" t="inlineStr">
        <is>
          <t>P45</t>
        </is>
      </c>
      <c r="AV5" s="1" t="inlineStr">
        <is>
          <t>P46</t>
        </is>
      </c>
      <c r="AW5" s="1" t="inlineStr">
        <is>
          <t>P47</t>
        </is>
      </c>
      <c r="AX5" s="1" t="inlineStr">
        <is>
          <t>P48</t>
        </is>
      </c>
      <c r="AY5" s="1" t="inlineStr">
        <is>
          <t>P49</t>
        </is>
      </c>
      <c r="AZ5" s="1" t="inlineStr">
        <is>
          <t>P50</t>
        </is>
      </c>
      <c r="BA5" s="1" t="inlineStr">
        <is>
          <t>P51</t>
        </is>
      </c>
      <c r="BB5" s="1" t="inlineStr">
        <is>
          <t>P52</t>
        </is>
      </c>
    </row>
    <row r="6">
      <c r="A6" t="inlineStr">
        <is>
          <t>Period end date</t>
        </is>
      </c>
      <c r="C6" s="4" t="n">
        <v>47665</v>
      </c>
      <c r="D6" s="4" t="n">
        <v>47849</v>
      </c>
      <c r="E6" s="4" t="n">
        <v>48030</v>
      </c>
      <c r="F6" s="4" t="n">
        <v>48214</v>
      </c>
      <c r="G6" s="4" t="n">
        <v>48396</v>
      </c>
      <c r="H6" s="4" t="n">
        <v>48580</v>
      </c>
      <c r="I6" s="4" t="n">
        <v>48761</v>
      </c>
      <c r="J6" s="4" t="n">
        <v>48945</v>
      </c>
      <c r="K6" s="4" t="n">
        <v>49126</v>
      </c>
      <c r="L6" s="4" t="n">
        <v>49310</v>
      </c>
      <c r="M6" s="4" t="n">
        <v>49491</v>
      </c>
      <c r="N6" s="4" t="n">
        <v>49675</v>
      </c>
      <c r="O6" s="4" t="n">
        <v>49857</v>
      </c>
      <c r="P6" s="4" t="n">
        <v>50041</v>
      </c>
      <c r="Q6" s="4" t="n">
        <v>50222</v>
      </c>
      <c r="R6" s="4" t="n">
        <v>50406</v>
      </c>
      <c r="S6" s="4" t="n">
        <v>50587</v>
      </c>
      <c r="T6" s="4" t="n">
        <v>50771</v>
      </c>
      <c r="U6" s="4" t="n">
        <v>50952</v>
      </c>
      <c r="V6" s="4" t="n">
        <v>51136</v>
      </c>
      <c r="W6" s="4" t="n">
        <v>51318</v>
      </c>
      <c r="X6" s="4" t="n">
        <v>51502</v>
      </c>
      <c r="Y6" s="4" t="n">
        <v>51683</v>
      </c>
      <c r="Z6" s="4" t="n">
        <v>51867</v>
      </c>
      <c r="AA6" s="4" t="n">
        <v>52048</v>
      </c>
      <c r="AB6" s="4" t="n">
        <v>52232</v>
      </c>
      <c r="AC6" s="4" t="n">
        <v>52413</v>
      </c>
      <c r="AD6" s="4" t="n">
        <v>52597</v>
      </c>
      <c r="AE6" s="4" t="n">
        <v>52779</v>
      </c>
      <c r="AF6" s="4" t="n">
        <v>52963</v>
      </c>
      <c r="AG6" s="4" t="n">
        <v>53144</v>
      </c>
      <c r="AH6" s="4" t="n">
        <v>53328</v>
      </c>
      <c r="AI6" s="4" t="n">
        <v>53509</v>
      </c>
      <c r="AJ6" s="4" t="n">
        <v>53693</v>
      </c>
      <c r="AK6" s="4" t="n">
        <v>53874</v>
      </c>
      <c r="AL6" s="4" t="n">
        <v>54058</v>
      </c>
      <c r="AM6" s="4" t="n">
        <v>54240</v>
      </c>
      <c r="AN6" s="4" t="n">
        <v>54424</v>
      </c>
      <c r="AO6" s="4" t="n">
        <v>54605</v>
      </c>
      <c r="AP6" s="4" t="n">
        <v>54789</v>
      </c>
      <c r="AQ6" s="4" t="n">
        <v>54970</v>
      </c>
      <c r="AR6" s="4" t="n">
        <v>55154</v>
      </c>
      <c r="AS6" s="4" t="n">
        <v>55335</v>
      </c>
      <c r="AT6" s="4" t="n">
        <v>55519</v>
      </c>
      <c r="AU6" s="4" t="n">
        <v>55701</v>
      </c>
      <c r="AV6" s="4" t="n">
        <v>55885</v>
      </c>
      <c r="AW6" s="4" t="n">
        <v>56066</v>
      </c>
      <c r="AX6" s="4" t="n">
        <v>56250</v>
      </c>
      <c r="AY6" s="4" t="n">
        <v>56431</v>
      </c>
      <c r="AZ6" s="4" t="n">
        <v>56615</v>
      </c>
      <c r="BA6" s="4" t="n">
        <v>56796</v>
      </c>
      <c r="BB6" s="4" t="n">
        <v>56980</v>
      </c>
    </row>
    <row r="8">
      <c r="A8" t="inlineStr">
        <is>
          <t>Equity capex contribution (outflow)</t>
        </is>
      </c>
      <c r="C8">
        <f>-'CapEx'!C11</f>
        <v>-17000.0</v>
      </c>
      <c r="D8">
        <f>-'CapEx'!D11</f>
        <v>-16000.0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</row>
    <row r="9">
      <c r="A9" t="inlineStr">
        <is>
          <t>Senior debt draw at COD (return of capital)</t>
        </is>
      </c>
      <c r="C9" t="n">
        <v>0</v>
      </c>
      <c r="D9" t="n">
        <v>0</v>
      </c>
      <c r="E9">
        <f>'Debt Service'!$C$16</f>
        <v>24750.0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</row>
    <row r="10">
      <c r="A10" t="inlineStr">
        <is>
          <t>Distributions (CFADS - debt service, 100% sweep)</t>
        </is>
      </c>
      <c r="C10" t="n">
        <v>0</v>
      </c>
      <c r="D10" t="n">
        <v>0</v>
      </c>
      <c r="E10">
        <f>MAX(0,'Cash Flow'!E9-'Cash Flow'!E10)</f>
        <v>433.4632812499999</v>
      </c>
      <c r="F10">
        <f>MAX(0,'Cash Flow'!F9-'Cash Flow'!F10)</f>
        <v>429.0913989257813</v>
      </c>
      <c r="G10">
        <f>MAX(0,'Cash Flow'!G9-'Cash Flow'!G10)</f>
        <v>428.1469877751465</v>
      </c>
      <c r="H10">
        <f>MAX(0,'Cash Flow'!H9-'Cash Flow'!H10)</f>
        <v>423.4093935704866</v>
      </c>
      <c r="I10">
        <f>MAX(0,'Cash Flow'!I9-'Cash Flow'!I10)</f>
        <v>422.1437548138631</v>
      </c>
      <c r="J10">
        <f>MAX(0,'Cash Flow'!J9-'Cash Flow'!J10)</f>
        <v>417.01818314678167</v>
      </c>
      <c r="K10">
        <f>MAX(0,'Cash Flow'!K9-'Cash Flow'!K10)</f>
        <v>415.4092684369962</v>
      </c>
      <c r="L10">
        <f>MAX(0,'Cash Flow'!L9-'Cash Flow'!L10)</f>
        <v>409.87218376477836</v>
      </c>
      <c r="M10">
        <f>MAX(0,'Cash Flow'!M9-'Cash Flow'!M10)</f>
        <v>407.89665230105106</v>
      </c>
      <c r="N10">
        <f>MAX(0,'Cash Flow'!N9-'Cash Flow'!N10)</f>
        <v>401.92317788468176</v>
      </c>
      <c r="O10">
        <f>MAX(0,'Cash Flow'!O9-'Cash Flow'!O10)</f>
        <v>399.55632340048373</v>
      </c>
      <c r="P10">
        <f>MAX(0,'Cash Flow'!P9-'Cash Flow'!P10)</f>
        <v>393.1201660909844</v>
      </c>
      <c r="Q10">
        <f>MAX(0,'Cash Flow'!Q9-'Cash Flow'!Q10)</f>
        <v>390.33583975698843</v>
      </c>
      <c r="R10">
        <f>MAX(0,'Cash Flow'!R9-'Cash Flow'!R10)</f>
        <v>383.4092105817615</v>
      </c>
      <c r="S10">
        <f>MAX(0,'Cash Flow'!S9-'Cash Flow'!S10)</f>
        <v>380.1797395959343</v>
      </c>
      <c r="T10">
        <f>MAX(0,'Cash Flow'!T9-'Cash Flow'!T10)</f>
        <v>372.7332699108533</v>
      </c>
      <c r="U10">
        <f>MAX(0,'Cash Flow'!U9-'Cash Flow'!U10)</f>
        <v>369.0293715350108</v>
      </c>
      <c r="V10">
        <f>MAX(0,'Cash Flow'!V9-'Cash Flow'!V10)</f>
        <v>361.03202449492187</v>
      </c>
      <c r="W10">
        <f>MAX(0,'Cash Flow'!W9-'Cash Flow'!W10)</f>
        <v>356.8227152836557</v>
      </c>
      <c r="X10">
        <f>MAX(0,'Cash Flow'!X9-'Cash Flow'!X10)</f>
        <v>348.24169237017327</v>
      </c>
      <c r="Y10">
        <f>MAX(0,'Cash Flow'!Y9-'Cash Flow'!Y10)</f>
        <v>369.3407481815186</v>
      </c>
      <c r="Z10">
        <f>MAX(0,'Cash Flow'!Z9-'Cash Flow'!Z10)</f>
        <v>359.2529151548274</v>
      </c>
      <c r="AA10">
        <f>MAX(0,'Cash Flow'!AA9-'Cash Flow'!AA10)</f>
        <v>353.43111525294876</v>
      </c>
      <c r="AB10">
        <f>MAX(0,'Cash Flow'!AB9-'Cash Flow'!AB10)</f>
        <v>373.11014637143535</v>
      </c>
      <c r="AC10">
        <f>MAX(0,'Cash Flow'!AC9-'Cash Flow'!AC10)</f>
        <v>2018.0639716298494</v>
      </c>
      <c r="AD10">
        <f>MAX(0,'Cash Flow'!AD9-'Cash Flow'!AD10)</f>
        <v>2018.0639716298494</v>
      </c>
      <c r="AE10">
        <f>MAX(0,'Cash Flow'!AE9-'Cash Flow'!AE10)</f>
        <v>2046.1706942788378</v>
      </c>
      <c r="AF10">
        <f>MAX(0,'Cash Flow'!AF9-'Cash Flow'!AF10)</f>
        <v>2046.1706942788378</v>
      </c>
      <c r="AG10">
        <f>MAX(0,'Cash Flow'!AG9-'Cash Flow'!AG10)</f>
        <v>2074.7101288368117</v>
      </c>
      <c r="AH10">
        <f>MAX(0,'Cash Flow'!AH9-'Cash Flow'!AH10)</f>
        <v>2074.7101288368117</v>
      </c>
      <c r="AI10">
        <f>MAX(0,'Cash Flow'!AI9-'Cash Flow'!AI10)</f>
        <v>2103.6888691350487</v>
      </c>
      <c r="AJ10">
        <f>MAX(0,'Cash Flow'!AJ9-'Cash Flow'!AJ10)</f>
        <v>2103.6888691350487</v>
      </c>
      <c r="AK10">
        <f>MAX(0,'Cash Flow'!AK9-'Cash Flow'!AK10)</f>
        <v>2133.113608079777</v>
      </c>
      <c r="AL10">
        <f>MAX(0,'Cash Flow'!AL9-'Cash Flow'!AL10)</f>
        <v>2133.113608079777</v>
      </c>
      <c r="AM10">
        <f>MAX(0,'Cash Flow'!AM9-'Cash Flow'!AM10)</f>
        <v>2162.9911391114674</v>
      </c>
      <c r="AN10">
        <f>MAX(0,'Cash Flow'!AN9-'Cash Flow'!AN10)</f>
        <v>2162.9911391114674</v>
      </c>
      <c r="AO10">
        <f>MAX(0,'Cash Flow'!AO9-'Cash Flow'!AO10)</f>
        <v>2193.328357685003</v>
      </c>
      <c r="AP10">
        <f>MAX(0,'Cash Flow'!AP9-'Cash Flow'!AP10)</f>
        <v>2193.328357685003</v>
      </c>
      <c r="AQ10">
        <f>MAX(0,'Cash Flow'!AQ9-'Cash Flow'!AQ10)</f>
        <v>2224.132262771008</v>
      </c>
      <c r="AR10">
        <f>MAX(0,'Cash Flow'!AR9-'Cash Flow'!AR10)</f>
        <v>2224.132262771008</v>
      </c>
      <c r="AS10">
        <f>MAX(0,'Cash Flow'!AS9-'Cash Flow'!AS10)</f>
        <v>2049.159958378615</v>
      </c>
      <c r="AT10">
        <f>MAX(0,'Cash Flow'!AT9-'Cash Flow'!AT10)</f>
        <v>2049.159958378615</v>
      </c>
      <c r="AU10">
        <f>MAX(0,'Cash Flow'!AU9-'Cash Flow'!AU10)</f>
        <v>2080.9186550999807</v>
      </c>
      <c r="AV10">
        <f>MAX(0,'Cash Flow'!AV9-'Cash Flow'!AV10)</f>
        <v>2080.9186550999807</v>
      </c>
      <c r="AW10">
        <f>MAX(0,'Cash Flow'!AW9-'Cash Flow'!AW10)</f>
        <v>2113.16567167683</v>
      </c>
      <c r="AX10">
        <f>MAX(0,'Cash Flow'!AX9-'Cash Flow'!AX10)</f>
        <v>2113.16567167683</v>
      </c>
      <c r="AY10">
        <f>MAX(0,'Cash Flow'!AY9-'Cash Flow'!AY10)</f>
        <v>2145.908436589337</v>
      </c>
      <c r="AZ10">
        <f>MAX(0,'Cash Flow'!AZ9-'Cash Flow'!AZ10)</f>
        <v>2145.908436589337</v>
      </c>
      <c r="BA10">
        <f>MAX(0,'Cash Flow'!BA9-'Cash Flow'!BA10)</f>
        <v>2179.154489667638</v>
      </c>
      <c r="BB10">
        <f>MAX(0,'Cash Flow'!BB9-'Cash Flow'!BB10)</f>
        <v>2179.154489667638</v>
      </c>
    </row>
    <row r="11">
      <c r="A11" s="1" t="inlineStr">
        <is>
          <t>Total equity cash flow</t>
        </is>
      </c>
      <c r="C11" s="1">
        <f>C8+C9+C10</f>
        <v>-17000.0</v>
      </c>
      <c r="D11" s="1">
        <f>D8+D9+D10</f>
        <v>-16000.0</v>
      </c>
      <c r="E11" s="1">
        <f>E8+E9+E10</f>
        <v>25183.46328125</v>
      </c>
      <c r="F11" s="1">
        <f>F8+F9+F10</f>
        <v>429.0913989257813</v>
      </c>
      <c r="G11" s="1">
        <f>G8+G9+G10</f>
        <v>428.1469877751465</v>
      </c>
      <c r="H11" s="1">
        <f>H8+H9+H10</f>
        <v>423.4093935704866</v>
      </c>
      <c r="I11" s="1">
        <f>I8+I9+I10</f>
        <v>422.1437548138631</v>
      </c>
      <c r="J11" s="1">
        <f>J8+J9+J10</f>
        <v>417.01818314678167</v>
      </c>
      <c r="K11" s="1">
        <f>K8+K9+K10</f>
        <v>415.4092684369962</v>
      </c>
      <c r="L11" s="1">
        <f>L8+L9+L10</f>
        <v>409.87218376477836</v>
      </c>
      <c r="M11" s="1">
        <f>M8+M9+M10</f>
        <v>407.89665230105106</v>
      </c>
      <c r="N11" s="1">
        <f>N8+N9+N10</f>
        <v>401.92317788468176</v>
      </c>
      <c r="O11" s="1">
        <f>O8+O9+O10</f>
        <v>399.55632340048373</v>
      </c>
      <c r="P11" s="1">
        <f>P8+P9+P10</f>
        <v>393.1201660909844</v>
      </c>
      <c r="Q11" s="1">
        <f>Q8+Q9+Q10</f>
        <v>390.33583975698843</v>
      </c>
      <c r="R11" s="1">
        <f>R8+R9+R10</f>
        <v>383.4092105817615</v>
      </c>
      <c r="S11" s="1">
        <f>S8+S9+S10</f>
        <v>380.1797395959343</v>
      </c>
      <c r="T11" s="1">
        <f>T8+T9+T10</f>
        <v>372.7332699108533</v>
      </c>
      <c r="U11" s="1">
        <f>U8+U9+U10</f>
        <v>369.0293715350108</v>
      </c>
      <c r="V11" s="1">
        <f>V8+V9+V10</f>
        <v>361.03202449492187</v>
      </c>
      <c r="W11" s="1">
        <f>W8+W9+W10</f>
        <v>356.8227152836557</v>
      </c>
      <c r="X11" s="1">
        <f>X8+X9+X10</f>
        <v>348.24169237017327</v>
      </c>
      <c r="Y11" s="1">
        <f>Y8+Y9+Y10</f>
        <v>369.3407481815186</v>
      </c>
      <c r="Z11" s="1">
        <f>Z8+Z9+Z10</f>
        <v>359.2529151548274</v>
      </c>
      <c r="AA11" s="1">
        <f>AA8+AA9+AA10</f>
        <v>353.43111525294876</v>
      </c>
      <c r="AB11" s="1">
        <f>AB8+AB9+AB10</f>
        <v>373.11014637143535</v>
      </c>
      <c r="AC11" s="1">
        <f>AC8+AC9+AC10</f>
        <v>2018.0639716298494</v>
      </c>
      <c r="AD11" s="1">
        <f>AD8+AD9+AD10</f>
        <v>2018.0639716298494</v>
      </c>
      <c r="AE11" s="1">
        <f>AE8+AE9+AE10</f>
        <v>2046.1706942788378</v>
      </c>
      <c r="AF11" s="1">
        <f>AF8+AF9+AF10</f>
        <v>2046.1706942788378</v>
      </c>
      <c r="AG11" s="1">
        <f>AG8+AG9+AG10</f>
        <v>2074.7101288368117</v>
      </c>
      <c r="AH11" s="1">
        <f>AH8+AH9+AH10</f>
        <v>2074.7101288368117</v>
      </c>
      <c r="AI11" s="1">
        <f>AI8+AI9+AI10</f>
        <v>2103.6888691350487</v>
      </c>
      <c r="AJ11" s="1">
        <f>AJ8+AJ9+AJ10</f>
        <v>2103.6888691350487</v>
      </c>
      <c r="AK11" s="1">
        <f>AK8+AK9+AK10</f>
        <v>2133.113608079777</v>
      </c>
      <c r="AL11" s="1">
        <f>AL8+AL9+AL10</f>
        <v>2133.113608079777</v>
      </c>
      <c r="AM11" s="1">
        <f>AM8+AM9+AM10</f>
        <v>2162.9911391114674</v>
      </c>
      <c r="AN11" s="1">
        <f>AN8+AN9+AN10</f>
        <v>2162.9911391114674</v>
      </c>
      <c r="AO11" s="1">
        <f>AO8+AO9+AO10</f>
        <v>2193.328357685003</v>
      </c>
      <c r="AP11" s="1">
        <f>AP8+AP9+AP10</f>
        <v>2193.328357685003</v>
      </c>
      <c r="AQ11" s="1">
        <f>AQ8+AQ9+AQ10</f>
        <v>2224.132262771008</v>
      </c>
      <c r="AR11" s="1">
        <f>AR8+AR9+AR10</f>
        <v>2224.132262771008</v>
      </c>
      <c r="AS11" s="1">
        <f>AS8+AS9+AS10</f>
        <v>2049.159958378615</v>
      </c>
      <c r="AT11" s="1">
        <f>AT8+AT9+AT10</f>
        <v>2049.159958378615</v>
      </c>
      <c r="AU11" s="1">
        <f>AU8+AU9+AU10</f>
        <v>2080.9186550999807</v>
      </c>
      <c r="AV11" s="1">
        <f>AV8+AV9+AV10</f>
        <v>2080.9186550999807</v>
      </c>
      <c r="AW11" s="1">
        <f>AW8+AW9+AW10</f>
        <v>2113.16567167683</v>
      </c>
      <c r="AX11" s="1">
        <f>AX8+AX9+AX10</f>
        <v>2113.16567167683</v>
      </c>
      <c r="AY11" s="1">
        <f>AY8+AY9+AY10</f>
        <v>2145.908436589337</v>
      </c>
      <c r="AZ11" s="1">
        <f>AZ8+AZ9+AZ10</f>
        <v>2145.908436589337</v>
      </c>
      <c r="BA11" s="1">
        <f>BA8+BA9+BA10</f>
        <v>2179.154489667638</v>
      </c>
      <c r="BB11" s="1">
        <f>BB8+BB9+BB10</f>
        <v>2179.154489667638</v>
      </c>
    </row>
    <row r="13">
      <c r="A13" s="1" t="inlineStr">
        <is>
          <t>EQUITY IRR (XIRR)</t>
        </is>
      </c>
      <c r="C13" s="1">
        <f>XIRR(C11:BB11,C6:BB6)</f>
        <v>0.1318473400260853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>
      <c r="A1" s="1" t="inlineStr">
        <is>
          <t>GENERIC SOLAR PV — REFERENCE MODEL SUMMARY</t>
        </is>
      </c>
    </row>
    <row r="2">
      <c r="A2" t="inlineStr">
        <is>
          <t>Source: External independent reference Excel (G1A-SPEC validation pack)</t>
        </is>
      </c>
    </row>
    <row r="4">
      <c r="A4" s="5" t="inlineStr">
        <is>
          <t>KPI</t>
        </is>
      </c>
      <c r="B4" s="5" t="inlineStr">
        <is>
          <t>Unit</t>
        </is>
      </c>
      <c r="C4" s="5" t="inlineStr">
        <is>
          <t>Value</t>
        </is>
      </c>
      <c r="D4" s="5" t="inlineStr">
        <is>
          <t>Source sheet</t>
        </is>
      </c>
      <c r="E4" s="5" t="inlineStr">
        <is>
          <t>Source cell</t>
        </is>
      </c>
      <c r="F4" s="5" t="inlineStr">
        <is>
          <t>Note</t>
        </is>
      </c>
    </row>
    <row r="5">
      <c r="A5" t="inlineStr">
        <is>
          <t>total_revenue_keur</t>
        </is>
      </c>
      <c r="B5" t="inlineStr">
        <is>
          <t>kEUR</t>
        </is>
      </c>
      <c r="C5" s="1">
        <f>'Revenue'!$C$15</f>
        <v>129903.90540899769</v>
      </c>
      <c r="D5" t="inlineStr">
        <is>
          <t>Revenue</t>
        </is>
      </c>
      <c r="E5" t="inlineStr">
        <is>
          <t>'Revenue'!$C$15</t>
        </is>
      </c>
      <c r="F5" t="inlineStr">
        <is>
          <t>Sum of all period total revenue</t>
        </is>
      </c>
    </row>
    <row r="6">
      <c r="A6" t="inlineStr">
        <is>
          <t>total_opex_keur</t>
        </is>
      </c>
      <c r="B6" t="inlineStr">
        <is>
          <t>kEUR</t>
        </is>
      </c>
      <c r="C6" s="1">
        <f>'OpEx'!$C$12</f>
        <v>12171.513894829874</v>
      </c>
      <c r="D6" t="inlineStr">
        <is>
          <t>OpEx</t>
        </is>
      </c>
      <c r="E6" t="inlineStr">
        <is>
          <t>'OpEx'!$C$12</t>
        </is>
      </c>
      <c r="F6" t="inlineStr">
        <is>
          <t>Sum of all period total opex</t>
        </is>
      </c>
    </row>
    <row r="7">
      <c r="A7" t="inlineStr">
        <is>
          <t>total_ebitda_keur</t>
        </is>
      </c>
      <c r="B7" t="inlineStr">
        <is>
          <t>kEUR</t>
        </is>
      </c>
      <c r="C7" s="1">
        <f>SUM('P&amp;L'!C7:BB7)</f>
        <v>117732.3915141678</v>
      </c>
      <c r="D7" t="inlineStr">
        <is>
          <t>P&amp;L</t>
        </is>
      </c>
      <c r="E7" t="inlineStr">
        <is>
          <t>C7:BB7</t>
        </is>
      </c>
      <c r="F7" t="inlineStr">
        <is>
          <t>Sum of period EBITDA</t>
        </is>
      </c>
    </row>
    <row r="8">
      <c r="A8" t="inlineStr">
        <is>
          <t>total_capex_keur</t>
        </is>
      </c>
      <c r="B8" t="inlineStr">
        <is>
          <t>kEUR</t>
        </is>
      </c>
      <c r="C8" s="1">
        <f>'CapEx'!$BD$11</f>
        <v>33000.0</v>
      </c>
      <c r="D8" t="inlineStr">
        <is>
          <t>CapEx</t>
        </is>
      </c>
      <c r="E8" t="inlineStr">
        <is>
          <t>'CapEx'!$BD$11</t>
        </is>
      </c>
      <c r="F8" t="inlineStr">
        <is>
          <t>Hard capex only (excl. IDC, fees)</t>
        </is>
      </c>
    </row>
    <row r="9">
      <c r="A9" t="inlineStr">
        <is>
          <t>idc_keur</t>
        </is>
      </c>
      <c r="B9" t="inlineStr">
        <is>
          <t>kEUR</t>
        </is>
      </c>
      <c r="C9" s="1">
        <f>'IDC'!$C$30</f>
        <v>0.0</v>
      </c>
      <c r="D9" t="inlineStr">
        <is>
          <t>IDC</t>
        </is>
      </c>
      <c r="E9" t="inlineStr">
        <is>
          <t>'IDC'!$C$30</t>
        </is>
      </c>
      <c r="F9" t="inlineStr">
        <is>
          <t>Zero: no debt drawn during construction</t>
        </is>
      </c>
    </row>
    <row r="10">
      <c r="A10" t="inlineStr">
        <is>
          <t>bank_fees_keur</t>
        </is>
      </c>
      <c r="B10" t="inlineStr">
        <is>
          <t>kEUR</t>
        </is>
      </c>
      <c r="C10" s="1">
        <f>'Inputs'!$C$36</f>
        <v>0.0</v>
      </c>
      <c r="D10" t="inlineStr">
        <is>
          <t>Inputs</t>
        </is>
      </c>
      <c r="E10" t="inlineStr">
        <is>
          <t>'Inputs'!$C$36</t>
        </is>
      </c>
      <c r="F10" t="inlineStr">
        <is>
          <t>Input assumption (0)</t>
        </is>
      </c>
    </row>
    <row r="11">
      <c r="A11" t="inlineStr">
        <is>
          <t>senior_debt_keur</t>
        </is>
      </c>
      <c r="B11" t="inlineStr">
        <is>
          <t>kEUR</t>
        </is>
      </c>
      <c r="C11" s="1">
        <f>'Debt Service'!$C$16</f>
        <v>24750.0</v>
      </c>
      <c r="D11" t="inlineStr">
        <is>
          <t>Debt Service</t>
        </is>
      </c>
      <c r="E11" t="inlineStr">
        <is>
          <t>'Debt Service'!$C$16</t>
        </is>
      </c>
      <c r="F11" t="inlineStr">
        <is>
          <t>DSCR-sculpted, capped at gearing</t>
        </is>
      </c>
    </row>
    <row r="12">
      <c r="A12" t="inlineStr">
        <is>
          <t>senior_debt_service_p1_keur</t>
        </is>
      </c>
      <c r="B12" t="inlineStr">
        <is>
          <t>kEUR</t>
        </is>
      </c>
      <c r="C12" s="1">
        <f>'Debt Service'!E22</f>
        <v>1316.53515625</v>
      </c>
      <c r="D12" t="inlineStr">
        <is>
          <t>Debt Service</t>
        </is>
      </c>
      <c r="E12" t="inlineStr">
        <is>
          <t>E22</t>
        </is>
      </c>
      <c r="F12" t="inlineStr">
        <is>
          <t>First operating period debt service</t>
        </is>
      </c>
    </row>
    <row r="13">
      <c r="A13" t="inlineStr">
        <is>
          <t>senior_debt_service_p2_keur</t>
        </is>
      </c>
      <c r="B13" t="inlineStr">
        <is>
          <t>kEUR</t>
        </is>
      </c>
      <c r="C13" s="1">
        <f>'Debt Service'!F22</f>
        <v>1316.53515625</v>
      </c>
      <c r="D13" t="inlineStr">
        <is>
          <t>Debt Service</t>
        </is>
      </c>
      <c r="E13" t="inlineStr">
        <is>
          <t>F22</t>
        </is>
      </c>
      <c r="F13" t="inlineStr">
        <is>
          <t>Second operating period debt service</t>
        </is>
      </c>
    </row>
    <row r="14">
      <c r="A14" t="inlineStr">
        <is>
          <t>senior_debt_service_p3_keur</t>
        </is>
      </c>
      <c r="B14" t="inlineStr">
        <is>
          <t>kEUR</t>
        </is>
      </c>
      <c r="C14" s="1">
        <f>'Debt Service'!G22</f>
        <v>1334.2736459375003</v>
      </c>
      <c r="D14" t="inlineStr">
        <is>
          <t>Debt Service</t>
        </is>
      </c>
      <c r="E14" t="inlineStr">
        <is>
          <t>G22</t>
        </is>
      </c>
      <c r="F14" t="inlineStr">
        <is>
          <t>Third operating period debt service</t>
        </is>
      </c>
    </row>
    <row r="15">
      <c r="A15" t="inlineStr">
        <is>
          <t>avg_dscr</t>
        </is>
      </c>
      <c r="B15" t="inlineStr">
        <is>
          <t>x</t>
        </is>
      </c>
      <c r="C15" s="1">
        <f>AVERAGEIF('Cash Flow'!E11:BB11,"&gt;0")</f>
        <v>1.2743553383078856</v>
      </c>
      <c r="D15" t="inlineStr">
        <is>
          <t>Cash Flow</t>
        </is>
      </c>
      <c r="E15" t="inlineStr">
        <is>
          <t>E11:BB11</t>
        </is>
      </c>
      <c r="F15" t="inlineStr">
        <is>
          <t>True CFADS / debt service, periods with debt service &gt; 0</t>
        </is>
      </c>
    </row>
    <row r="16">
      <c r="A16" t="inlineStr">
        <is>
          <t>min_dscr</t>
        </is>
      </c>
      <c r="B16" t="inlineStr">
        <is>
          <t>x</t>
        </is>
      </c>
      <c r="C16" s="1">
        <f>MIN('Cash Flow'!E11:BB11)</f>
        <v>1.2130832303555987</v>
      </c>
      <c r="D16" t="inlineStr">
        <is>
          <t>Cash Flow</t>
        </is>
      </c>
      <c r="E16" t="inlineStr">
        <is>
          <t>E11:BB11</t>
        </is>
      </c>
      <c r="F16" t="inlineStr">
        <is>
          <t>Same range, minimum</t>
        </is>
      </c>
    </row>
    <row r="17">
      <c r="A17" t="inlineStr">
        <is>
          <t>project_irr</t>
        </is>
      </c>
      <c r="B17" t="inlineStr">
        <is>
          <t>%</t>
        </is>
      </c>
      <c r="C17" s="1">
        <f>'Cash Flow'!$C$14</f>
        <v>0.10427401808931996</v>
      </c>
      <c r="D17" t="inlineStr">
        <is>
          <t>Cash Flow</t>
        </is>
      </c>
      <c r="E17" t="inlineStr">
        <is>
          <t>'Cash Flow'!$C$14</t>
        </is>
      </c>
      <c r="F17" t="inlineStr">
        <is>
          <t>XIRR on unlevered project cash flow</t>
        </is>
      </c>
    </row>
    <row r="18">
      <c r="A18" t="inlineStr">
        <is>
          <t>equity_irr</t>
        </is>
      </c>
      <c r="B18" t="inlineStr">
        <is>
          <t>%</t>
        </is>
      </c>
      <c r="C18" s="1">
        <f>'Equity'!$C$13</f>
        <v>0.1318473400260853</v>
      </c>
      <c r="D18" t="inlineStr">
        <is>
          <t>Equity</t>
        </is>
      </c>
      <c r="E18" t="inlineStr">
        <is>
          <t>'Equity'!$C$13</t>
        </is>
      </c>
      <c r="F18" t="inlineStr">
        <is>
          <t>XIRR on combined equity cash flow</t>
        </is>
      </c>
    </row>
    <row r="19">
      <c r="A19" t="inlineStr">
        <is>
          <t>realized_gearing</t>
        </is>
      </c>
      <c r="B19" t="inlineStr">
        <is>
          <t>%</t>
        </is>
      </c>
      <c r="C19" s="1">
        <f>C11/C8*100</f>
        <v>75.0</v>
      </c>
      <c r="D19" t="inlineStr">
        <is>
          <t>Summary</t>
        </is>
      </c>
      <c r="E19" t="inlineStr">
        <is>
          <t>C11/C8</t>
        </is>
      </c>
      <c r="F19" t="inlineStr">
        <is>
          <t>senior_debt_keur / total_capex_keur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4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Generic Solar PV — Methodology</t>
        </is>
      </c>
    </row>
    <row r="3">
      <c r="A3" t="inlineStr">
        <is>
          <t>MODELLING CONVENTIONS</t>
        </is>
      </c>
    </row>
    <row r="4">
      <c r="A4" t="inlineStr">
        <is>
          <t>- Currency: all amounts in kEUR. Periods: semiannual (2 per year).</t>
        </is>
      </c>
    </row>
    <row r="5">
      <c r="A5" t="inlineStr">
        <is>
          <t>- Construction periods precede COD; operating periods run for the full horizon after COD.</t>
        </is>
      </c>
    </row>
    <row r="6">
      <c r="A6" t="inlineStr">
        <is>
          <t>- No VBA macros anywhere in this workbook. No external workbook links. No protected sheets.</t>
        </is>
      </c>
    </row>
    <row r="7">
      <c r="A7" t="inlineStr">
        <is>
          <t>- Every cell on the Summary tab is a live formula chained back to the detail tabs; none are hardcoded.</t>
        </is>
      </c>
    </row>
    <row r="8">
      <c r="A8" t="inlineStr"/>
    </row>
    <row r="9">
      <c r="A9" t="inlineStr">
        <is>
          <t>KEY SIMPLIFICATIONS / DEVIATIONS FROM THE NARRATIVE SPEC (documented per spec section 9):</t>
        </is>
      </c>
    </row>
    <row r="10">
      <c r="A10" t="inlineStr">
        <is>
          <t>1. CapEx spending-profile buckets ('Y0', 'Y1-H1', 'Y1-H2') are mapped directly, in order, onto the</t>
        </is>
      </c>
    </row>
    <row r="11">
      <c r="A11" t="inlineStr">
        <is>
          <t xml:space="preserve">   actual construction periods of each project (P1, P2, P3...) rather than literal calendar-year</t>
        </is>
      </c>
    </row>
    <row r="12">
      <c r="A12" t="inlineStr">
        <is>
          <t xml:space="preserve">   labels, because COD falls exactly at the start of the stated 'Y1', which makes a literal Y1-H1/H2</t>
        </is>
      </c>
    </row>
    <row r="13">
      <c r="A13" t="inlineStr">
        <is>
          <t xml:space="preserve">   construction spend impossible. Where a project has fewer construction periods than profile buckets</t>
        </is>
      </c>
    </row>
    <row r="14">
      <c r="A14" t="inlineStr">
        <is>
          <t xml:space="preserve">   (Solar: 2 periods vs Civil Works' 3 buckets), trailing buckets are folded into the last construction period.</t>
        </is>
      </c>
    </row>
    <row r="15">
      <c r="A15" t="inlineStr">
        <is>
          <t>2. IDC = 0 by construction, not by override: senior debt is modelled as a single bullet draw at COD,</t>
        </is>
      </c>
    </row>
    <row r="16">
      <c r="A16" t="inlineStr">
        <is>
          <t xml:space="preserve">   sized via DSCR sculpting of post-COD CFADS. No debt balance exists during construction, so the</t>
        </is>
      </c>
    </row>
    <row r="17">
      <c r="A17" t="inlineStr">
        <is>
          <t xml:space="preserve">   interest-during-construction formula naturally evaluates to zero (IDC tab, row 10).</t>
        </is>
      </c>
    </row>
    <row r="18">
      <c r="A18" t="inlineStr">
        <is>
          <t>3. Senior debt sizing uses a closed-form NPV approximation (NPV of CFADS/target DSCR over the senior</t>
        </is>
      </c>
    </row>
    <row r="19">
      <c r="A19" t="inlineStr">
        <is>
          <t xml:space="preserve">   tenor, discounted at the all-in senior rate), capped at the gearing limit, in place of a full</t>
        </is>
      </c>
    </row>
    <row r="20">
      <c r="A20" t="inlineStr">
        <is>
          <t xml:space="preserve">   iterative bisection solver. This is one of the equivalent methods the spec explicitly allows (S5.6).</t>
        </is>
      </c>
    </row>
    <row r="21">
      <c r="A21" t="inlineStr">
        <is>
          <t xml:space="preserve">   A final-period balance true-up forces the closing balance to exactly zero.</t>
        </is>
      </c>
    </row>
    <row r="22">
      <c r="A22" t="inlineStr">
        <is>
          <t>4. Debt sizing uses a CFADS proxy excluding the interest tax shield (Tax_sizing = MAX(0, EBITDA-Dep)</t>
        </is>
      </c>
    </row>
    <row r="23">
      <c r="A23" t="inlineStr">
        <is>
          <t xml:space="preserve">   * tax_rate) to avoid a circular reference between interest expense and tax. The true, post-interest</t>
        </is>
      </c>
    </row>
    <row r="24">
      <c r="A24" t="inlineStr">
        <is>
          <t xml:space="preserve">   tax (with loss carryforward) is computed on the P&amp;L tab and used for the Cash Flow tab's true CFADS,</t>
        </is>
      </c>
    </row>
    <row r="25">
      <c r="A25" t="inlineStr">
        <is>
          <t xml:space="preserve">   true DSCR, and the Summary anchors. This is a standard, documented simplification for static</t>
        </is>
      </c>
    </row>
    <row r="26">
      <c r="A26" t="inlineStr">
        <is>
          <t xml:space="preserve">   (non-iterative) spreadsheet models.</t>
        </is>
      </c>
    </row>
    <row r="27">
      <c r="A27" t="inlineStr">
        <is>
          <t>5. Loss carryforward is modelled as a single non-expiring rolling pool (loss generated minus loss used)</t>
        </is>
      </c>
    </row>
    <row r="28">
      <c r="A28" t="inlineStr">
        <is>
          <t xml:space="preserve">   rather than a vintage-tracked 5-year-expiry ladder. Given the conservative DSCR sculpting in both</t>
        </is>
      </c>
    </row>
    <row r="29">
      <c r="A29" t="inlineStr">
        <is>
          <t xml:space="preserve">   projects, taxable losses are not expected to persist for 5+ years; this simplification is documented</t>
        </is>
      </c>
    </row>
    <row r="30">
      <c r="A30" t="inlineStr">
        <is>
          <t xml:space="preserve">   per spec S9 Q4 and is not expected to move tax cash flow outside the +/-0.5% tolerance band.</t>
        </is>
      </c>
    </row>
    <row r="31">
      <c r="A31" t="inlineStr">
        <is>
          <t>6. Depreciation: straight-line over the configured life (20 years) on hard capex only (excl. IDC/fees),</t>
        </is>
      </c>
    </row>
    <row r="32">
      <c r="A32" t="inlineStr">
        <is>
          <t xml:space="preserve">   per spec S5.10, halved for semiannual periods, ceasing once the asset is fully depreciated.</t>
        </is>
      </c>
    </row>
    <row r="33">
      <c r="A33" t="inlineStr">
        <is>
          <t>7. SHL (8% PIK) and share capital are combined into a single 'equity' cash flow series per the</t>
        </is>
      </c>
    </row>
    <row r="34">
      <c r="A34" t="inlineStr">
        <is>
          <t xml:space="preserve">   EQUITY_ONLY method input; SHL PIK accrual is not separately tracked as the spec's EQUITY_ONLY</t>
        </is>
      </c>
    </row>
    <row r="35">
      <c r="A35" t="inlineStr">
        <is>
          <t xml:space="preserve">   convention does not require a standalone SHL waterfall for the headline Equity IRR (S9 Q5).</t>
        </is>
      </c>
    </row>
    <row r="36">
      <c r="A36" t="inlineStr">
        <is>
          <t>8. Distribution policy: 100% cash sweep to equity after debt service (no DSRA funding modelled</t>
        </is>
      </c>
    </row>
    <row r="37">
      <c r="A37" t="inlineStr">
        <is>
          <t xml:space="preserve">   separately; senior debt sizing already embeds the target DSCR cushion) (S9 Q6/Q7).</t>
        </is>
      </c>
    </row>
    <row r="38">
      <c r="A38" t="inlineStr">
        <is>
          <t>9. No terminal value at the end of the 25-year horizon (S9 Q8). No working-capital adjustments;</t>
        </is>
      </c>
    </row>
    <row r="39">
      <c r="A39" t="inlineStr">
        <is>
          <t xml:space="preserve">   the model is on a cash basis throughout (S9 Q9).</t>
        </is>
      </c>
    </row>
    <row r="40">
      <c r="A40" t="inlineStr">
        <is>
          <t>10. Generation is flat within each operating year (50% H1 / 50% H2), per spec S9 Q12.</t>
        </is>
      </c>
    </row>
    <row r="41">
      <c r="A41" t="inlineStr"/>
    </row>
    <row r="42">
      <c r="A42" t="inlineStr">
        <is>
          <t>CONFIRMATIONS:</t>
        </is>
      </c>
    </row>
    <row r="43">
      <c r="A43" t="inlineStr">
        <is>
          <t>- No VBA macros are used or required anywhere in this workbook.</t>
        </is>
      </c>
    </row>
    <row r="44">
      <c r="A44" t="inlineStr">
        <is>
          <t>- No external workbook links are used; all data and formulas are self-contained.</t>
        </is>
      </c>
    </row>
    <row r="45">
      <c r="A45" t="inlineStr">
        <is>
          <t>- No cells/sheets are protected; all formulas are visible and traceable.</t>
        </is>
      </c>
    </row>
    <row r="46">
      <c r="A46" t="inlineStr">
        <is>
          <t>- Recalculation method: forced full recalculation (LibreOffice Calc headless, equivalent to Ctrl+Alt+F9).</t>
        </is>
      </c>
    </row>
    <row r="47">
      <c r="A47" t="inlineStr">
        <is>
          <t>- Rounding convention: 0dp on kEUR amounts, 4dp on ratios, 6dp on IRRs (display only; underlying values unrounded).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2026-06-18T13:24:41Z</dcterms:created>
  <dcterms:modified xsi:type="dcterms:W3CDTF">2026-06-18T13:24:41Z</dcterms:modified>
</cp:coreProperties>
</file>