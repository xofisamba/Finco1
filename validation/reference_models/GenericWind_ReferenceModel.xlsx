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CapEx" sheetId="2" state="visible" r:id="rId4"/>
    <sheet name="IDC" sheetId="3" state="visible" r:id="rId5"/>
    <sheet name="OpEx" sheetId="4" state="visible" r:id="rId6"/>
    <sheet name="Revenue" sheetId="5" state="visible" r:id="rId7"/>
    <sheet name="Debt Service" sheetId="6" state="visible" r:id="rId8"/>
    <sheet name="P&amp;L" sheetId="7" state="visible" r:id="rId9"/>
    <sheet name="Cash Flow" sheetId="8" state="visible" r:id="rId10"/>
    <sheet name="Equity" sheetId="9" state="visible" r:id="rId11"/>
    <sheet name="Summary" sheetId="10" state="visible" r:id="rId12"/>
    <sheet name="Methodolog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<sst xmlns="http://schemas.openxmlformats.org/spreadsheetml/2006/main" count="715" uniqueCount="299">
  <si>
    <t xml:space="preserve">Generic Wind Farm — Inputs</t>
  </si>
  <si>
    <t xml:space="preserve">Project name</t>
  </si>
  <si>
    <t xml:space="preserve">string</t>
  </si>
  <si>
    <t xml:space="preserve">Generic Wind Farm</t>
  </si>
  <si>
    <t xml:space="preserve">Company</t>
  </si>
  <si>
    <t xml:space="preserve">WindCo</t>
  </si>
  <si>
    <t xml:space="preserve">Code</t>
  </si>
  <si>
    <t xml:space="preserve">WIND-001</t>
  </si>
  <si>
    <t xml:space="preserve">Country</t>
  </si>
  <si>
    <t xml:space="preserve">ISO</t>
  </si>
  <si>
    <t xml:space="preserve">DE</t>
  </si>
  <si>
    <t xml:space="preserve">Financial close</t>
  </si>
  <si>
    <t xml:space="preserve">date</t>
  </si>
  <si>
    <t xml:space="preserve">COD date</t>
  </si>
  <si>
    <t xml:space="preserve">Construction months</t>
  </si>
  <si>
    <t xml:space="preserve">months</t>
  </si>
  <si>
    <t xml:space="preserve">Horizon years</t>
  </si>
  <si>
    <t xml:space="preserve">years</t>
  </si>
  <si>
    <t xml:space="preserve">Capacity MW</t>
  </si>
  <si>
    <t xml:space="preserve">MW</t>
  </si>
  <si>
    <t xml:space="preserve">Operating hours P50</t>
  </si>
  <si>
    <t xml:space="preserve">hrs/yr</t>
  </si>
  <si>
    <t xml:space="preserve">PV degradation /yr</t>
  </si>
  <si>
    <t xml:space="preserve">%</t>
  </si>
  <si>
    <t xml:space="preserve">Plant availability</t>
  </si>
  <si>
    <t xml:space="preserve">ratio</t>
  </si>
  <si>
    <t xml:space="preserve">PPA base tariff</t>
  </si>
  <si>
    <t xml:space="preserve">EUR/MWh</t>
  </si>
  <si>
    <t xml:space="preserve">PPA term years</t>
  </si>
  <si>
    <t xml:space="preserve">PPA indexation /yr</t>
  </si>
  <si>
    <t xml:space="preserve">Market price Y1</t>
  </si>
  <si>
    <t xml:space="preserve">Market price Y2</t>
  </si>
  <si>
    <t xml:space="preserve">Market escalation /yr</t>
  </si>
  <si>
    <t xml:space="preserve">Balancing cost</t>
  </si>
  <si>
    <t xml:space="preserve">CO2 enabled</t>
  </si>
  <si>
    <t xml:space="preserve">bool</t>
  </si>
  <si>
    <t xml:space="preserve">CO2 price</t>
  </si>
  <si>
    <t xml:space="preserve">Annual OPEX inflation</t>
  </si>
  <si>
    <t xml:space="preserve">Share capital</t>
  </si>
  <si>
    <t xml:space="preserve">kEUR</t>
  </si>
  <si>
    <t xml:space="preserve">SHL amount</t>
  </si>
  <si>
    <t xml:space="preserve">SHL rate</t>
  </si>
  <si>
    <t xml:space="preserve">Gearing cap</t>
  </si>
  <si>
    <t xml:space="preserve">Senior tenor years</t>
  </si>
  <si>
    <t xml:space="preserve">Base rate</t>
  </si>
  <si>
    <t xml:space="preserve">Margin bps</t>
  </si>
  <si>
    <t xml:space="preserve">bps</t>
  </si>
  <si>
    <t xml:space="preserve">Target DSCR</t>
  </si>
  <si>
    <t xml:space="preserve">x</t>
  </si>
  <si>
    <t xml:space="preserve">Corporate tax rate</t>
  </si>
  <si>
    <t xml:space="preserve">Loss carryforward years</t>
  </si>
  <si>
    <t xml:space="preserve">IDC (input)</t>
  </si>
  <si>
    <t xml:space="preserve">Bank fees (input)</t>
  </si>
  <si>
    <t xml:space="preserve">Depreciation life</t>
  </si>
  <si>
    <t xml:space="preserve">Generic Wind Farm — CapEx Schedule (kEUR)</t>
  </si>
  <si>
    <t xml:space="preserve">Period</t>
  </si>
  <si>
    <t xml:space="preserve">Profile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</si>
  <si>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</si>
  <si>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</si>
  <si>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</si>
  <si>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</si>
  <si>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</si>
  <si>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</si>
  <si>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</si>
  <si>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</si>
  <si>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</si>
  <si>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</si>
  <si>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</si>
  <si>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</si>
  <si>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</si>
  <si>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</si>
  <si>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</si>
  <si>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</si>
  <si>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</si>
  <si>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</si>
  <si>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</si>
  <si>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</si>
  <si>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</si>
  <si>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</si>
  <si>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</si>
  <si>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</si>
  <si>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</si>
  <si>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</si>
  <si>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</si>
  <si>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</si>
  <si>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</si>
  <si>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</si>
  <si>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P31</t>
  </si>
  <si>
    <t xml:space="preserve">P32</t>
  </si>
  <si>
    <t xml:space="preserve">P33</t>
  </si>
  <si>
    <t xml:space="preserve">P34</t>
  </si>
  <si>
    <t xml:space="preserve">P35</t>
  </si>
  <si>
    <t xml:space="preserve">P36</t>
  </si>
  <si>
    <t xml:space="preserve">P37</t>
  </si>
  <si>
    <t xml:space="preserve">P38</t>
  </si>
  <si>
    <t xml:space="preserve">P39</t>
  </si>
  <si>
    <t xml:space="preserve">P40</t>
  </si>
  <si>
    <t xml:space="preserve">P41</t>
  </si>
  <si>
    <t xml:space="preserve">P42</t>
  </si>
  <si>
    <t xml:space="preserve">P43</t>
  </si>
  <si>
    <t xml:space="preserve">P44</t>
  </si>
  <si>
    <t xml:space="preserve">P45</t>
  </si>
  <si>
    <t xml:space="preserve">P46</t>
  </si>
  <si>
    <t xml:space="preserve">P47</t>
  </si>
  <si>
    <t xml:space="preserve">P48</t>
  </si>
  <si>
    <t xml:space="preserve">P49</t>
  </si>
  <si>
    <t xml:space="preserve">P50</t>
  </si>
  <si>
    <t xml:space="preserve">P51</t>
  </si>
  <si>
    <t xml:space="preserve">P52</t>
  </si>
  <si>
    <t xml:space="preserve">P53</t>
  </si>
  <si>
    <t xml:space="preserve">Period end date</t>
  </si>
  <si>
    <t xml:space="preserve">Item Total (kEUR)</t>
  </si>
  <si>
    <t xml:space="preserve">Wind Turbines</t>
  </si>
  <si>
    <t xml:space="preserve">Civil Works</t>
  </si>
  <si>
    <t xml:space="preserve">Grid Connection</t>
  </si>
  <si>
    <t xml:space="preserve">Soft Costs</t>
  </si>
  <si>
    <t xml:space="preserve">Total Hard CapEx</t>
  </si>
  <si>
    <t xml:space="preserve">IDC</t>
  </si>
  <si>
    <t xml:space="preserve">Bank fees</t>
  </si>
  <si>
    <t xml:space="preserve">TOTAL CAPEX (incl. IDC + fees)</t>
  </si>
  <si>
    <t xml:space="preserve">Generic Wind Farm — IDC / Construction Drawdown</t>
  </si>
  <si>
    <t xml:space="preserve">Assumption: senior debt is drawn as a single bullet at COD, sized via DSCR sculpting (see Debt Service tab). Construction capex is funded 100% by equity, so no debt balance accrues interest during construction.</t>
  </si>
  <si>
    <t xml:space="preserve">Construction debt drawdown (kEUR)</t>
  </si>
  <si>
    <t xml:space="preserve">Opening construction debt balance (kEUR)</t>
  </si>
  <si>
    <t xml:space="preserve">Interest rate per period</t>
  </si>
  <si>
    <t xml:space="preserve">Closing construction debt balance (kEUR)</t>
  </si>
  <si>
    <t xml:space="preserve">Interest during construction (kEUR)</t>
  </si>
  <si>
    <t xml:space="preserve">TOTAL IDC (kEUR)</t>
  </si>
  <si>
    <t xml:space="preserve">Generic Wind Farm — OpEx (kEUR)</t>
  </si>
  <si>
    <t xml:space="preserve">Operating year</t>
  </si>
  <si>
    <t xml:space="preserve">-</t>
  </si>
  <si>
    <t xml:space="preserve">Y1 Amount (kEUR)</t>
  </si>
  <si>
    <t xml:space="preserve">Technical Management</t>
  </si>
  <si>
    <t xml:space="preserve">Insurance</t>
  </si>
  <si>
    <t xml:space="preserve">Maintenance</t>
  </si>
  <si>
    <t xml:space="preserve">Land Lease</t>
  </si>
  <si>
    <t xml:space="preserve">Total OpEx</t>
  </si>
  <si>
    <t xml:space="preserve">TOTAL OPEX (kEUR, life of project)</t>
  </si>
  <si>
    <t xml:space="preserve">Generic Wind Farm — Revenue</t>
  </si>
  <si>
    <t xml:space="preserve">Generation (MWh)</t>
  </si>
  <si>
    <t xml:space="preserve">PPA tariff this year (EUR/MWh)</t>
  </si>
  <si>
    <t xml:space="preserve">Market price this year (EUR/MWh)</t>
  </si>
  <si>
    <t xml:space="preserve">PPA active? (1/0)</t>
  </si>
  <si>
    <t xml:space="preserve">Energy revenue (PPA or merchant, kEUR)</t>
  </si>
  <si>
    <t xml:space="preserve">Balancing cost (kEUR)</t>
  </si>
  <si>
    <t xml:space="preserve">CO2 revenue (kEUR)</t>
  </si>
  <si>
    <t xml:space="preserve">Total Revenue</t>
  </si>
  <si>
    <t xml:space="preserve">TOTAL REVENUE (kEUR, life of project)</t>
  </si>
  <si>
    <t xml:space="preserve">Generic Wind Farm — Debt Service (DSCR Sculpt)</t>
  </si>
  <si>
    <t xml:space="preserve"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</si>
  <si>
    <t xml:space="preserve">EBITDA (= Revenue - OpEx)</t>
  </si>
  <si>
    <t xml:space="preserve">Depreciation (straight-line, kEUR)</t>
  </si>
  <si>
    <t xml:space="preserve">Tax (sizing proxy, no interest shield)</t>
  </si>
  <si>
    <t xml:space="preserve">CFADS (sizing proxy)</t>
  </si>
  <si>
    <t xml:space="preserve">Debt service capacity per period (CFADS_sizing/target DSCR)</t>
  </si>
  <si>
    <t xml:space="preserve">Sized senior debt (NPV of debt-service capacity)</t>
  </si>
  <si>
    <t xml:space="preserve">Gearing cap amount</t>
  </si>
  <si>
    <t xml:space="preserve">SENIOR DEBT (sized, capped at gearing)</t>
  </si>
  <si>
    <t xml:space="preserve">Schedule rescale factor (gearing-cap senior debt / DSCR-sized debt, capped at 1)</t>
  </si>
  <si>
    <t xml:space="preserve">Rescaled debt service capacity (capacity x rescale factor)</t>
  </si>
  <si>
    <t xml:space="preserve">Amortization schedule</t>
  </si>
  <si>
    <t xml:space="preserve">Opening balance (kEUR)</t>
  </si>
  <si>
    <t xml:space="preserve">Interest (kEUR)</t>
  </si>
  <si>
    <t xml:space="preserve">Senior debt service (kEUR)</t>
  </si>
  <si>
    <t xml:space="preserve">Principal (kEUR)</t>
  </si>
  <si>
    <t xml:space="preserve">Closing balance (kEUR)</t>
  </si>
  <si>
    <t xml:space="preserve">DSCR (sizing proxy)</t>
  </si>
  <si>
    <t xml:space="preserve">n/a</t>
  </si>
  <si>
    <t xml:space="preserve">Generic Wind Farm — P&amp;L</t>
  </si>
  <si>
    <t xml:space="preserve">Revenue</t>
  </si>
  <si>
    <t xml:space="preserve">OpEx</t>
  </si>
  <si>
    <t xml:space="preserve">EBITDA</t>
  </si>
  <si>
    <t xml:space="preserve">Depreciation</t>
  </si>
  <si>
    <t xml:space="preserve">Interest expense (actual)</t>
  </si>
  <si>
    <t xml:space="preserve">Pre-tax profit (EBITDA-Dep-Interest)</t>
  </si>
  <si>
    <t xml:space="preserve">Loss pool, opening</t>
  </si>
  <si>
    <t xml:space="preserve">Loss pool used this period</t>
  </si>
  <si>
    <t xml:space="preserve">Loss pool, closing</t>
  </si>
  <si>
    <t xml:space="preserve">Taxable profit (after loss relief)</t>
  </si>
  <si>
    <t xml:space="preserve">Corporate tax</t>
  </si>
  <si>
    <t xml:space="preserve">Net income</t>
  </si>
  <si>
    <t xml:space="preserve">Generic Wind Farm — Cash Flow</t>
  </si>
  <si>
    <t xml:space="preserve">Capex (construction, outflow)</t>
  </si>
  <si>
    <t xml:space="preserve">Tax</t>
  </si>
  <si>
    <t xml:space="preserve">CFADS (true, = EBITDA - Tax)</t>
  </si>
  <si>
    <t xml:space="preserve">Senior debt service</t>
  </si>
  <si>
    <t xml:space="preserve">DSCR (true)</t>
  </si>
  <si>
    <t xml:space="preserve">Unlevered project cash flow</t>
  </si>
  <si>
    <t xml:space="preserve">PROJECT IRR (XIRR)</t>
  </si>
  <si>
    <t xml:space="preserve">Generic Wind Farm — Equity Cash Flow</t>
  </si>
  <si>
    <t xml:space="preserve">SHL and share capital are combined into a single equity cash flow series per the EQUITY_ONLY method. Senior debt drawn at COD returns capex already funded by equity during construction (construction debt = 0, see IDC tab).</t>
  </si>
  <si>
    <t xml:space="preserve">Equity capex contribution (outflow)</t>
  </si>
  <si>
    <t xml:space="preserve">Senior debt draw at COD (return of capital)</t>
  </si>
  <si>
    <t xml:space="preserve">Distributions (CFADS - debt service, 100% sweep)</t>
  </si>
  <si>
    <t xml:space="preserve">Total equity cash flow</t>
  </si>
  <si>
    <t xml:space="preserve">EQUITY IRR (XIRR)</t>
  </si>
  <si>
    <t xml:space="preserve">GENERIC WIND FARM — REFERENCE MODEL SUMMARY</t>
  </si>
  <si>
    <t xml:space="preserve">Source: External independent reference Excel (G1A-SPEC validation pack)</t>
  </si>
  <si>
    <t xml:space="preserve">KPI</t>
  </si>
  <si>
    <t xml:space="preserve">Unit</t>
  </si>
  <si>
    <t xml:space="preserve">Value</t>
  </si>
  <si>
    <t xml:space="preserve">Source sheet</t>
  </si>
  <si>
    <t xml:space="preserve">Source cell</t>
  </si>
  <si>
    <t xml:space="preserve">Note</t>
  </si>
  <si>
    <t xml:space="preserve">total_revenue_keur</t>
  </si>
  <si>
    <t xml:space="preserve">'Revenue'!$C$15</t>
  </si>
  <si>
    <t xml:space="preserve">Sum of all period total revenue</t>
  </si>
  <si>
    <t xml:space="preserve">total_opex_keur</t>
  </si>
  <si>
    <t xml:space="preserve">'OpEx'!$C$12</t>
  </si>
  <si>
    <t xml:space="preserve">Sum of all period total opex</t>
  </si>
  <si>
    <t xml:space="preserve">total_ebitda_keur</t>
  </si>
  <si>
    <t xml:space="preserve">P&amp;L</t>
  </si>
  <si>
    <t xml:space="preserve">C7:BC7</t>
  </si>
  <si>
    <t xml:space="preserve">Sum of period EBITDA</t>
  </si>
  <si>
    <t xml:space="preserve">total_capex_keur</t>
  </si>
  <si>
    <t xml:space="preserve">CapEx</t>
  </si>
  <si>
    <t xml:space="preserve">'CapEx'!$BE$10</t>
  </si>
  <si>
    <t xml:space="preserve">Hard capex only (excl. IDC, fees)</t>
  </si>
  <si>
    <t xml:space="preserve">idc_keur</t>
  </si>
  <si>
    <t xml:space="preserve">'IDC'!$C$30</t>
  </si>
  <si>
    <t xml:space="preserve">Zero: no debt drawn during construction</t>
  </si>
  <si>
    <t xml:space="preserve">bank_fees_keur</t>
  </si>
  <si>
    <t xml:space="preserve">Inputs</t>
  </si>
  <si>
    <t xml:space="preserve">'Inputs'!$C$36</t>
  </si>
  <si>
    <t xml:space="preserve">Input assumption (0)</t>
  </si>
  <si>
    <t xml:space="preserve">senior_debt_keur</t>
  </si>
  <si>
    <t xml:space="preserve">Debt Service</t>
  </si>
  <si>
    <t xml:space="preserve">'Debt Service'!$C$16</t>
  </si>
  <si>
    <t xml:space="preserve">DSCR-sculpted, capped at gearing</t>
  </si>
  <si>
    <t xml:space="preserve">senior_debt_service_p1_keur</t>
  </si>
  <si>
    <t xml:space="preserve">F22</t>
  </si>
  <si>
    <t xml:space="preserve">First operating period debt service</t>
  </si>
  <si>
    <t xml:space="preserve">senior_debt_service_p2_keur</t>
  </si>
  <si>
    <t xml:space="preserve">G22</t>
  </si>
  <si>
    <t xml:space="preserve">Second operating period debt service</t>
  </si>
  <si>
    <t xml:space="preserve">senior_debt_service_p3_keur</t>
  </si>
  <si>
    <t xml:space="preserve">H22</t>
  </si>
  <si>
    <t xml:space="preserve">Third operating period debt service</t>
  </si>
  <si>
    <t xml:space="preserve">avg_dscr</t>
  </si>
  <si>
    <t xml:space="preserve">Cash Flow</t>
  </si>
  <si>
    <t xml:space="preserve">F11:BC11</t>
  </si>
  <si>
    <t xml:space="preserve">True CFADS / debt service, periods with debt service &gt; 0</t>
  </si>
  <si>
    <t xml:space="preserve">min_dscr</t>
  </si>
  <si>
    <t xml:space="preserve">Same range, minimum</t>
  </si>
  <si>
    <t xml:space="preserve">project_irr</t>
  </si>
  <si>
    <t xml:space="preserve">'Cash Flow'!$C$14</t>
  </si>
  <si>
    <t xml:space="preserve">XIRR on unlevered project cash flow</t>
  </si>
  <si>
    <t xml:space="preserve">equity_irr</t>
  </si>
  <si>
    <t xml:space="preserve">Equity</t>
  </si>
  <si>
    <t xml:space="preserve">'Equity'!$C$13</t>
  </si>
  <si>
    <t xml:space="preserve">XIRR on combined equity cash flow</t>
  </si>
  <si>
    <t xml:space="preserve">realized_gearing</t>
  </si>
  <si>
    <t xml:space="preserve">Summary</t>
  </si>
  <si>
    <t xml:space="preserve">C11/C8</t>
  </si>
  <si>
    <t xml:space="preserve">senior_debt_keur / total_capex_keur</t>
  </si>
  <si>
    <t xml:space="preserve">Generic Wind Farm — Methodology</t>
  </si>
  <si>
    <t xml:space="preserve">MODELLING CONVENTIONS</t>
  </si>
  <si>
    <t xml:space="preserve">- Currency: all amounts in kEUR. Periods: semiannual (2 per year).</t>
  </si>
  <si>
    <t xml:space="preserve">- Construction periods precede COD; operating periods run for the full horizon after COD.</t>
  </si>
  <si>
    <t xml:space="preserve">- No VBA macros anywhere in this workbook. No external workbook links. No protected sheets.</t>
  </si>
  <si>
    <t xml:space="preserve">- Every cell on the Summary tab is a live formula chained back to the detail tabs; none are hardcoded.</t>
  </si>
  <si>
    <t xml:space="preserve">KEY SIMPLIFICATIONS / DEVIATIONS FROM THE NARRATIVE SPEC (documented per spec section 9):</t>
  </si>
  <si>
    <t xml:space="preserve">1. CapEx spending-profile buckets ('Y0', 'Y1-H1', 'Y1-H2') are mapped directly, in order, onto the</t>
  </si>
  <si>
    <t xml:space="preserve">   actual construction periods of each project (P1, P2, P3...) rather than literal calendar-year</t>
  </si>
  <si>
    <t xml:space="preserve">   labels, because COD falls exactly at the start of the stated 'Y1', which makes a literal Y1-H1/H2</t>
  </si>
  <si>
    <t xml:space="preserve">   construction spend impossible. Where a project has fewer construction periods than profile buckets</t>
  </si>
  <si>
    <t xml:space="preserve">   (Solar: 2 periods vs Civil Works' 3 buckets), trailing buckets are folded into the last construction period.</t>
  </si>
  <si>
    <t xml:space="preserve">2. IDC = 0 by construction, not by override: senior debt is modelled as a single bullet draw at COD,</t>
  </si>
  <si>
    <t xml:space="preserve">   sized via DSCR sculpting of post-COD CFADS. No debt balance exists during construction, so the</t>
  </si>
  <si>
    <t xml:space="preserve">   interest-during-construction formula naturally evaluates to zero (IDC tab, row 10).</t>
  </si>
  <si>
    <t xml:space="preserve">3. Senior debt sizing uses a closed-form NPV approximation (NPV of CFADS/target DSCR over the senior</t>
  </si>
  <si>
    <t xml:space="preserve">   tenor, discounted at the all-in senior rate), capped at the gearing limit, in place of a full</t>
  </si>
  <si>
    <t xml:space="preserve">   iterative bisection solver. This is one of the equivalent methods the spec explicitly allows (S5.6).</t>
  </si>
  <si>
    <t xml:space="preserve">   A final-period balance true-up forces the closing balance to exactly zero.</t>
  </si>
  <si>
    <t xml:space="preserve">4. Debt sizing uses a CFADS proxy excluding the interest tax shield (Tax_sizing = MAX(0, EBITDA-Dep)</t>
  </si>
  <si>
    <t xml:space="preserve">   * tax_rate) to avoid a circular reference between interest expense and tax. The true, post-interest</t>
  </si>
  <si>
    <t xml:space="preserve">   tax (with loss carryforward) is computed on the P&amp;L tab and used for the Cash Flow tab's true CFADS,</t>
  </si>
  <si>
    <t xml:space="preserve">   true DSCR, and the Summary anchors. This is a standard, documented simplification for static</t>
  </si>
  <si>
    <t xml:space="preserve">   (non-iterative) spreadsheet models.</t>
  </si>
  <si>
    <t xml:space="preserve">5. Loss carryforward is modelled as a single non-expiring rolling pool (loss generated minus loss used)</t>
  </si>
  <si>
    <t xml:space="preserve">   rather than a vintage-tracked 5-year-expiry ladder. Given the conservative DSCR sculpting in both</t>
  </si>
  <si>
    <t xml:space="preserve">   projects, taxable losses are not expected to persist for 5+ years; this simplification is documented</t>
  </si>
  <si>
    <t xml:space="preserve">   per spec S9 Q4 and is not expected to move tax cash flow outside the +/-0.5% tolerance band.</t>
  </si>
  <si>
    <t xml:space="preserve">6. Depreciation: straight-line over the configured life (20 years) on hard capex only (excl. IDC/fees),</t>
  </si>
  <si>
    <t xml:space="preserve">   per spec S5.10, halved for semiannual periods, ceasing once the asset is fully depreciated.</t>
  </si>
  <si>
    <t xml:space="preserve">7. SHL (8% PIK) and share capital are combined into a single 'equity' cash flow series per the</t>
  </si>
  <si>
    <t xml:space="preserve">   EQUITY_ONLY method input; SHL PIK accrual is not separately tracked as the spec's EQUITY_ONLY</t>
  </si>
  <si>
    <t xml:space="preserve">   convention does not require a standalone SHL waterfall for the headline Equity IRR (S9 Q5).</t>
  </si>
  <si>
    <t xml:space="preserve">8. Distribution policy: 100% cash sweep to equity after debt service (no DSRA funding modelled</t>
  </si>
  <si>
    <t xml:space="preserve">   separately; senior debt sizing already embeds the target DSCR cushion) (S9 Q6/Q7).</t>
  </si>
  <si>
    <t xml:space="preserve">9. No terminal value at the end of the 25-year horizon (S9 Q8). No working-capital adjustments;</t>
  </si>
  <si>
    <t xml:space="preserve">   the model is on a cash basis throughout (S9 Q9).</t>
  </si>
  <si>
    <t xml:space="preserve">10. Generation is flat within each operating year (50% H1 / 50% H2), per spec S9 Q12.</t>
  </si>
  <si>
    <t xml:space="preserve">CONFIRMATIONS:</t>
  </si>
  <si>
    <t xml:space="preserve">- No VBA macros are used or required anywhere in this workbook.</t>
  </si>
  <si>
    <t xml:space="preserve">- No external workbook links are used; all data and formulas are self-contained.</t>
  </si>
  <si>
    <t xml:space="preserve">- No cells/sheets are protected; all formulas are visible and traceable.</t>
  </si>
  <si>
    <t xml:space="preserve">- Recalculation method: forced full recalculation (LibreOffice Calc headless, equivalent to Ctrl+Alt+F9).</t>
  </si>
  <si>
    <t xml:space="preserve">- Rounding convention: 0dp on kEUR amounts, 4dp on ratios, 6dp on IRRs (display only; underlying values unrounded).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</si>
</sst>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[$$-409]#,##0.00;[RED]\-[$$-409]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CC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  <c r="B3" s="0" t="s">
        <v>2</v>
      </c>
      <c r="C3" s="2" t="s">
        <v>3</v>
      </c>
    </row>
    <row r="4" customFormat="false" ht="15" hidden="false" customHeight="false" outlineLevel="0" collapsed="false">
      <c r="A4" s="0" t="s">
        <v>4</v>
      </c>
      <c r="B4" s="0" t="s">
        <v>2</v>
      </c>
      <c r="C4" s="2" t="s">
        <v>5</v>
      </c>
    </row>
    <row r="5" customFormat="false" ht="15" hidden="false" customHeight="false" outlineLevel="0" collapsed="false">
      <c r="A5" s="0" t="s">
        <v>6</v>
      </c>
      <c r="B5" s="0" t="s">
        <v>2</v>
      </c>
      <c r="C5" s="2" t="s">
        <v>7</v>
      </c>
    </row>
    <row r="6" customFormat="false" ht="15" hidden="false" customHeight="false" outlineLevel="0" collapsed="false">
      <c r="A6" s="0" t="s">
        <v>8</v>
      </c>
      <c r="B6" s="0" t="s">
        <v>9</v>
      </c>
      <c r="C6" s="2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  <c r="C7" s="3" t="n">
        <v>47484</v>
      </c>
    </row>
    <row r="8" customFormat="false" ht="15" hidden="false" customHeight="false" outlineLevel="0" collapsed="false">
      <c r="A8" s="0" t="s">
        <v>13</v>
      </c>
      <c r="B8" s="0" t="s">
        <v>12</v>
      </c>
      <c r="C8" s="3" t="n">
        <v>48030</v>
      </c>
    </row>
    <row r="9" customFormat="false" ht="15" hidden="false" customHeight="false" outlineLevel="0" collapsed="false">
      <c r="A9" s="0" t="s">
        <v>14</v>
      </c>
      <c r="B9" s="0" t="s">
        <v>15</v>
      </c>
      <c r="C9" s="2" t="n">
        <v>18</v>
      </c>
    </row>
    <row r="10" customFormat="false" ht="15" hidden="false" customHeight="false" outlineLevel="0" collapsed="false">
      <c r="A10" s="0" t="s">
        <v>16</v>
      </c>
      <c r="B10" s="0" t="s">
        <v>17</v>
      </c>
      <c r="C10" s="2" t="n">
        <v>25</v>
      </c>
    </row>
    <row r="11" customFormat="false" ht="15" hidden="false" customHeight="false" outlineLevel="0" collapsed="false">
      <c r="A11" s="0" t="s">
        <v>18</v>
      </c>
      <c r="B11" s="0" t="s">
        <v>19</v>
      </c>
      <c r="C11" s="2" t="n">
        <v>50</v>
      </c>
    </row>
    <row r="12" customFormat="false" ht="15" hidden="false" customHeight="false" outlineLevel="0" collapsed="false">
      <c r="A12" s="0" t="s">
        <v>20</v>
      </c>
      <c r="B12" s="0" t="s">
        <v>21</v>
      </c>
      <c r="C12" s="2" t="n">
        <v>3000</v>
      </c>
    </row>
    <row r="13" customFormat="false" ht="15" hidden="false" customHeight="false" outlineLevel="0" collapsed="false">
      <c r="A13" s="0" t="s">
        <v>22</v>
      </c>
      <c r="B13" s="0" t="s">
        <v>23</v>
      </c>
      <c r="C13" s="2" t="n">
        <v>0</v>
      </c>
    </row>
    <row r="14" customFormat="false" ht="15" hidden="false" customHeight="false" outlineLevel="0" collapsed="false">
      <c r="A14" s="0" t="s">
        <v>24</v>
      </c>
      <c r="B14" s="0" t="s">
        <v>25</v>
      </c>
      <c r="C14" s="2" t="n">
        <v>0.9801</v>
      </c>
    </row>
    <row r="15" customFormat="false" ht="15" hidden="false" customHeight="false" outlineLevel="0" collapsed="false">
      <c r="A15" s="0" t="s">
        <v>26</v>
      </c>
      <c r="B15" s="0" t="s">
        <v>27</v>
      </c>
      <c r="C15" s="2" t="n">
        <v>60</v>
      </c>
    </row>
    <row r="16" customFormat="false" ht="15" hidden="false" customHeight="false" outlineLevel="0" collapsed="false">
      <c r="A16" s="0" t="s">
        <v>28</v>
      </c>
      <c r="B16" s="0" t="s">
        <v>17</v>
      </c>
      <c r="C16" s="2" t="n">
        <v>12</v>
      </c>
    </row>
    <row r="17" customFormat="false" ht="15" hidden="false" customHeight="false" outlineLevel="0" collapsed="false">
      <c r="A17" s="0" t="s">
        <v>29</v>
      </c>
      <c r="B17" s="0" t="s">
        <v>23</v>
      </c>
      <c r="C17" s="2" t="n">
        <v>0.02</v>
      </c>
    </row>
    <row r="18" customFormat="false" ht="15" hidden="false" customHeight="false" outlineLevel="0" collapsed="false">
      <c r="A18" s="0" t="s">
        <v>30</v>
      </c>
      <c r="B18" s="0" t="s">
        <v>27</v>
      </c>
      <c r="C18" s="2" t="n">
        <v>65</v>
      </c>
    </row>
    <row r="19" customFormat="false" ht="15" hidden="false" customHeight="false" outlineLevel="0" collapsed="false">
      <c r="A19" s="0" t="s">
        <v>31</v>
      </c>
      <c r="B19" s="0" t="s">
        <v>27</v>
      </c>
      <c r="C19" s="2" t="n">
        <v>66.3</v>
      </c>
    </row>
    <row r="20" customFormat="false" ht="15" hidden="false" customHeight="false" outlineLevel="0" collapsed="false">
      <c r="A20" s="0" t="s">
        <v>32</v>
      </c>
      <c r="B20" s="0" t="s">
        <v>23</v>
      </c>
      <c r="C20" s="2" t="n">
        <v>0.02</v>
      </c>
    </row>
    <row r="21" customFormat="false" ht="15" hidden="false" customHeight="false" outlineLevel="0" collapsed="false">
      <c r="A21" s="0" t="s">
        <v>33</v>
      </c>
      <c r="B21" s="0" t="s">
        <v>27</v>
      </c>
      <c r="C21" s="2" t="n">
        <v>8</v>
      </c>
    </row>
    <row r="22" customFormat="false" ht="15" hidden="false" customHeight="false" outlineLevel="0" collapsed="false">
      <c r="A22" s="0" t="s">
        <v>34</v>
      </c>
      <c r="B22" s="0" t="s">
        <v>35</v>
      </c>
      <c r="C22" s="4" t="b">
        <f aca="false">TRUE()</f>
        <v>1</v>
      </c>
    </row>
    <row r="23" customFormat="false" ht="15" hidden="false" customHeight="false" outlineLevel="0" collapsed="false">
      <c r="A23" s="0" t="s">
        <v>36</v>
      </c>
      <c r="B23" s="0" t="s">
        <v>27</v>
      </c>
      <c r="C23" s="2" t="n">
        <v>5</v>
      </c>
    </row>
    <row r="24" customFormat="false" ht="15" hidden="false" customHeight="false" outlineLevel="0" collapsed="false">
      <c r="A24" s="0" t="s">
        <v>37</v>
      </c>
      <c r="B24" s="0" t="s">
        <v>23</v>
      </c>
      <c r="C24" s="2" t="n">
        <v>0.02</v>
      </c>
    </row>
    <row r="25" customFormat="false" ht="15" hidden="false" customHeight="false" outlineLevel="0" collapsed="false">
      <c r="A25" s="0" t="s">
        <v>38</v>
      </c>
      <c r="B25" s="0" t="s">
        <v>39</v>
      </c>
      <c r="C25" s="2" t="n">
        <v>500</v>
      </c>
    </row>
    <row r="26" customFormat="false" ht="15" hidden="false" customHeight="false" outlineLevel="0" collapsed="false">
      <c r="A26" s="0" t="s">
        <v>40</v>
      </c>
      <c r="B26" s="0" t="s">
        <v>39</v>
      </c>
      <c r="C26" s="2" t="n">
        <v>5000</v>
      </c>
    </row>
    <row r="27" customFormat="false" ht="15" hidden="false" customHeight="false" outlineLevel="0" collapsed="false">
      <c r="A27" s="0" t="s">
        <v>41</v>
      </c>
      <c r="B27" s="0" t="s">
        <v>23</v>
      </c>
      <c r="C27" s="2" t="n">
        <v>0.08</v>
      </c>
    </row>
    <row r="28" customFormat="false" ht="15" hidden="false" customHeight="false" outlineLevel="0" collapsed="false">
      <c r="A28" s="0" t="s">
        <v>42</v>
      </c>
      <c r="B28" s="0" t="s">
        <v>25</v>
      </c>
      <c r="C28" s="2" t="n">
        <v>0.75</v>
      </c>
    </row>
    <row r="29" customFormat="false" ht="15" hidden="false" customHeight="false" outlineLevel="0" collapsed="false">
      <c r="A29" s="0" t="s">
        <v>43</v>
      </c>
      <c r="B29" s="0" t="s">
        <v>17</v>
      </c>
      <c r="C29" s="2" t="n">
        <v>15</v>
      </c>
    </row>
    <row r="30" customFormat="false" ht="15" hidden="false" customHeight="false" outlineLevel="0" collapsed="false">
      <c r="A30" s="0" t="s">
        <v>44</v>
      </c>
      <c r="B30" s="0" t="s">
        <v>23</v>
      </c>
      <c r="C30" s="2" t="n">
        <v>0.03</v>
      </c>
    </row>
    <row r="31" customFormat="false" ht="15" hidden="false" customHeight="false" outlineLevel="0" collapsed="false">
      <c r="A31" s="0" t="s">
        <v>45</v>
      </c>
      <c r="B31" s="0" t="s">
        <v>46</v>
      </c>
      <c r="C31" s="2" t="n">
        <v>250</v>
      </c>
    </row>
    <row r="32" customFormat="false" ht="15" hidden="false" customHeight="false" outlineLevel="0" collapsed="false">
      <c r="A32" s="0" t="s">
        <v>47</v>
      </c>
      <c r="B32" s="0" t="s">
        <v>48</v>
      </c>
      <c r="C32" s="2" t="n">
        <v>1.2</v>
      </c>
    </row>
    <row r="33" customFormat="false" ht="15" hidden="false" customHeight="false" outlineLevel="0" collapsed="false">
      <c r="A33" s="0" t="s">
        <v>49</v>
      </c>
      <c r="B33" s="0" t="s">
        <v>23</v>
      </c>
      <c r="C33" s="2" t="n">
        <v>0.25</v>
      </c>
    </row>
    <row r="34" customFormat="false" ht="15" hidden="false" customHeight="false" outlineLevel="0" collapsed="false">
      <c r="A34" s="0" t="s">
        <v>50</v>
      </c>
      <c r="B34" s="0" t="s">
        <v>17</v>
      </c>
      <c r="C34" s="2" t="n">
        <v>5</v>
      </c>
    </row>
    <row r="35" customFormat="false" ht="15" hidden="false" customHeight="false" outlineLevel="0" collapsed="false">
      <c r="A35" s="0" t="s">
        <v>51</v>
      </c>
      <c r="B35" s="0" t="s">
        <v>39</v>
      </c>
      <c r="C35" s="2" t="n">
        <v>0</v>
      </c>
    </row>
    <row r="36" customFormat="false" ht="15" hidden="false" customHeight="false" outlineLevel="0" collapsed="false">
      <c r="A36" s="0" t="s">
        <v>52</v>
      </c>
      <c r="B36" s="0" t="s">
        <v>39</v>
      </c>
      <c r="C36" s="2" t="n">
        <v>0</v>
      </c>
    </row>
    <row r="37" customFormat="false" ht="15" hidden="false" customHeight="false" outlineLevel="0" collapsed="false">
      <c r="A37" s="0" t="s">
        <v>53</v>
      </c>
      <c r="B37" s="0" t="s">
        <v>17</v>
      </c>
      <c r="C37" s="2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54</v>
      </c>
    </row>
    <row r="3" customFormat="false" ht="15" hidden="false" customHeight="false" outlineLevel="0" collapsed="false">
      <c r="A3" s="0" t="s">
        <v>55</v>
      </c>
      <c r="B3" s="0" t="s">
        <v>56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  <c r="BC3" s="1" t="s">
        <v>109</v>
      </c>
    </row>
    <row r="4" customFormat="false" ht="15" hidden="false" customHeight="false" outlineLevel="0" collapsed="false">
      <c r="A4" s="0" t="s">
        <v>110</v>
      </c>
      <c r="C4" s="5" t="n">
        <v>47665</v>
      </c>
      <c r="D4" s="5" t="n">
        <v>47849</v>
      </c>
      <c r="E4" s="5" t="n">
        <v>48030</v>
      </c>
      <c r="F4" s="5" t="n">
        <v>48214</v>
      </c>
      <c r="G4" s="5" t="n">
        <v>48396</v>
      </c>
      <c r="H4" s="5" t="n">
        <v>48580</v>
      </c>
      <c r="I4" s="5" t="n">
        <v>48761</v>
      </c>
      <c r="J4" s="5" t="n">
        <v>48945</v>
      </c>
      <c r="K4" s="5" t="n">
        <v>49126</v>
      </c>
      <c r="L4" s="5" t="n">
        <v>49310</v>
      </c>
      <c r="M4" s="5" t="n">
        <v>49491</v>
      </c>
      <c r="N4" s="5" t="n">
        <v>49675</v>
      </c>
      <c r="O4" s="5" t="n">
        <v>49857</v>
      </c>
      <c r="P4" s="5" t="n">
        <v>50041</v>
      </c>
      <c r="Q4" s="5" t="n">
        <v>50222</v>
      </c>
      <c r="R4" s="5" t="n">
        <v>50406</v>
      </c>
      <c r="S4" s="5" t="n">
        <v>50587</v>
      </c>
      <c r="T4" s="5" t="n">
        <v>50771</v>
      </c>
      <c r="U4" s="5" t="n">
        <v>50952</v>
      </c>
      <c r="V4" s="5" t="n">
        <v>51136</v>
      </c>
      <c r="W4" s="5" t="n">
        <v>51318</v>
      </c>
      <c r="X4" s="5" t="n">
        <v>51502</v>
      </c>
      <c r="Y4" s="5" t="n">
        <v>51683</v>
      </c>
      <c r="Z4" s="5" t="n">
        <v>51867</v>
      </c>
      <c r="AA4" s="5" t="n">
        <v>52048</v>
      </c>
      <c r="AB4" s="5" t="n">
        <v>52232</v>
      </c>
      <c r="AC4" s="5" t="n">
        <v>52413</v>
      </c>
      <c r="AD4" s="5" t="n">
        <v>52597</v>
      </c>
      <c r="AE4" s="5" t="n">
        <v>52779</v>
      </c>
      <c r="AF4" s="5" t="n">
        <v>52963</v>
      </c>
      <c r="AG4" s="5" t="n">
        <v>53144</v>
      </c>
      <c r="AH4" s="5" t="n">
        <v>53328</v>
      </c>
      <c r="AI4" s="5" t="n">
        <v>53509</v>
      </c>
      <c r="AJ4" s="5" t="n">
        <v>53693</v>
      </c>
      <c r="AK4" s="5" t="n">
        <v>53874</v>
      </c>
      <c r="AL4" s="5" t="n">
        <v>54058</v>
      </c>
      <c r="AM4" s="5" t="n">
        <v>54240</v>
      </c>
      <c r="AN4" s="5" t="n">
        <v>54424</v>
      </c>
      <c r="AO4" s="5" t="n">
        <v>54605</v>
      </c>
      <c r="AP4" s="5" t="n">
        <v>54789</v>
      </c>
      <c r="AQ4" s="5" t="n">
        <v>54970</v>
      </c>
      <c r="AR4" s="5" t="n">
        <v>55154</v>
      </c>
      <c r="AS4" s="5" t="n">
        <v>55335</v>
      </c>
      <c r="AT4" s="5" t="n">
        <v>55519</v>
      </c>
      <c r="AU4" s="5" t="n">
        <v>55701</v>
      </c>
      <c r="AV4" s="5" t="n">
        <v>55885</v>
      </c>
      <c r="AW4" s="5" t="n">
        <v>56066</v>
      </c>
      <c r="AX4" s="5" t="n">
        <v>56250</v>
      </c>
      <c r="AY4" s="5" t="n">
        <v>56431</v>
      </c>
      <c r="AZ4" s="5" t="n">
        <v>56615</v>
      </c>
      <c r="BA4" s="5" t="n">
        <v>56796</v>
      </c>
      <c r="BB4" s="5" t="n">
        <v>56980</v>
      </c>
      <c r="BC4" s="5" t="n">
        <v>57162</v>
      </c>
    </row>
    <row r="5" customFormat="false" ht="15" hidden="false" customHeight="false" outlineLevel="0" collapsed="false">
      <c r="BE5" s="1" t="s">
        <v>111</v>
      </c>
    </row>
    <row r="6" customFormat="false" ht="15" hidden="false" customHeight="false" outlineLevel="0" collapsed="false">
      <c r="A6" s="0" t="s">
        <v>112</v>
      </c>
      <c r="B6" s="0" t="s">
        <v>39</v>
      </c>
      <c r="C6" s="0" t="n">
        <f aca="false">0.4*$BE$6</f>
        <v>12000</v>
      </c>
      <c r="D6" s="0" t="n">
        <f aca="false">0.6*$BE$6</f>
        <v>18000</v>
      </c>
      <c r="E6" s="0" t="n">
        <f aca="false">0*$BE$6</f>
        <v>0</v>
      </c>
      <c r="F6" s="0" t="n">
        <f aca="false">0*$BE$6</f>
        <v>0</v>
      </c>
      <c r="G6" s="0" t="n">
        <f aca="false">0*$BE$6</f>
        <v>0</v>
      </c>
      <c r="H6" s="0" t="n">
        <f aca="false">0*$BE$6</f>
        <v>0</v>
      </c>
      <c r="I6" s="0" t="n">
        <f aca="false">0*$BE$6</f>
        <v>0</v>
      </c>
      <c r="J6" s="0" t="n">
        <f aca="false">0*$BE$6</f>
        <v>0</v>
      </c>
      <c r="K6" s="0" t="n">
        <f aca="false">0*$BE$6</f>
        <v>0</v>
      </c>
      <c r="L6" s="0" t="n">
        <f aca="false">0*$BE$6</f>
        <v>0</v>
      </c>
      <c r="M6" s="0" t="n">
        <f aca="false">0*$BE$6</f>
        <v>0</v>
      </c>
      <c r="N6" s="0" t="n">
        <f aca="false">0*$BE$6</f>
        <v>0</v>
      </c>
      <c r="O6" s="0" t="n">
        <f aca="false">0*$BE$6</f>
        <v>0</v>
      </c>
      <c r="P6" s="0" t="n">
        <f aca="false">0*$BE$6</f>
        <v>0</v>
      </c>
      <c r="Q6" s="0" t="n">
        <f aca="false">0*$BE$6</f>
        <v>0</v>
      </c>
      <c r="R6" s="0" t="n">
        <f aca="false">0*$BE$6</f>
        <v>0</v>
      </c>
      <c r="S6" s="0" t="n">
        <f aca="false">0*$BE$6</f>
        <v>0</v>
      </c>
      <c r="T6" s="0" t="n">
        <f aca="false">0*$BE$6</f>
        <v>0</v>
      </c>
      <c r="U6" s="0" t="n">
        <f aca="false">0*$BE$6</f>
        <v>0</v>
      </c>
      <c r="V6" s="0" t="n">
        <f aca="false">0*$BE$6</f>
        <v>0</v>
      </c>
      <c r="W6" s="0" t="n">
        <f aca="false">0*$BE$6</f>
        <v>0</v>
      </c>
      <c r="X6" s="0" t="n">
        <f aca="false">0*$BE$6</f>
        <v>0</v>
      </c>
      <c r="Y6" s="0" t="n">
        <f aca="false">0*$BE$6</f>
        <v>0</v>
      </c>
      <c r="Z6" s="0" t="n">
        <f aca="false">0*$BE$6</f>
        <v>0</v>
      </c>
      <c r="AA6" s="0" t="n">
        <f aca="false">0*$BE$6</f>
        <v>0</v>
      </c>
      <c r="AB6" s="0" t="n">
        <f aca="false">0*$BE$6</f>
        <v>0</v>
      </c>
      <c r="AC6" s="0" t="n">
        <f aca="false">0*$BE$6</f>
        <v>0</v>
      </c>
      <c r="AD6" s="0" t="n">
        <f aca="false">0*$BE$6</f>
        <v>0</v>
      </c>
      <c r="AE6" s="0" t="n">
        <f aca="false">0*$BE$6</f>
        <v>0</v>
      </c>
      <c r="AF6" s="0" t="n">
        <f aca="false">0*$BE$6</f>
        <v>0</v>
      </c>
      <c r="AG6" s="0" t="n">
        <f aca="false">0*$BE$6</f>
        <v>0</v>
      </c>
      <c r="AH6" s="0" t="n">
        <f aca="false">0*$BE$6</f>
        <v>0</v>
      </c>
      <c r="AI6" s="0" t="n">
        <f aca="false">0*$BE$6</f>
        <v>0</v>
      </c>
      <c r="AJ6" s="0" t="n">
        <f aca="false">0*$BE$6</f>
        <v>0</v>
      </c>
      <c r="AK6" s="0" t="n">
        <f aca="false">0*$BE$6</f>
        <v>0</v>
      </c>
      <c r="AL6" s="0" t="n">
        <f aca="false">0*$BE$6</f>
        <v>0</v>
      </c>
      <c r="AM6" s="0" t="n">
        <f aca="false">0*$BE$6</f>
        <v>0</v>
      </c>
      <c r="AN6" s="0" t="n">
        <f aca="false">0*$BE$6</f>
        <v>0</v>
      </c>
      <c r="AO6" s="0" t="n">
        <f aca="false">0*$BE$6</f>
        <v>0</v>
      </c>
      <c r="AP6" s="0" t="n">
        <f aca="false">0*$BE$6</f>
        <v>0</v>
      </c>
      <c r="AQ6" s="0" t="n">
        <f aca="false">0*$BE$6</f>
        <v>0</v>
      </c>
      <c r="AR6" s="0" t="n">
        <f aca="false">0*$BE$6</f>
        <v>0</v>
      </c>
      <c r="AS6" s="0" t="n">
        <f aca="false">0*$BE$6</f>
        <v>0</v>
      </c>
      <c r="AT6" s="0" t="n">
        <f aca="false">0*$BE$6</f>
        <v>0</v>
      </c>
      <c r="AU6" s="0" t="n">
        <f aca="false">0*$BE$6</f>
        <v>0</v>
      </c>
      <c r="AV6" s="0" t="n">
        <f aca="false">0*$BE$6</f>
        <v>0</v>
      </c>
      <c r="AW6" s="0" t="n">
        <f aca="false">0*$BE$6</f>
        <v>0</v>
      </c>
      <c r="AX6" s="0" t="n">
        <f aca="false">0*$BE$6</f>
        <v>0</v>
      </c>
      <c r="AY6" s="0" t="n">
        <f aca="false">0*$BE$6</f>
        <v>0</v>
      </c>
      <c r="AZ6" s="0" t="n">
        <f aca="false">0*$BE$6</f>
        <v>0</v>
      </c>
      <c r="BA6" s="0" t="n">
        <f aca="false">0*$BE$6</f>
        <v>0</v>
      </c>
      <c r="BB6" s="0" t="n">
        <f aca="false">0*$BE$6</f>
        <v>0</v>
      </c>
      <c r="BC6" s="0" t="n">
        <f aca="false">0*$BE$6</f>
        <v>0</v>
      </c>
      <c r="BE6" s="2" t="n">
        <v>30000</v>
      </c>
    </row>
    <row r="7" customFormat="false" ht="15" hidden="false" customHeight="false" outlineLevel="0" collapsed="false">
      <c r="A7" s="0" t="s">
        <v>113</v>
      </c>
      <c r="B7" s="0" t="s">
        <v>39</v>
      </c>
      <c r="C7" s="0" t="n">
        <f aca="false">0.3*$BE$7</f>
        <v>1800</v>
      </c>
      <c r="D7" s="0" t="n">
        <f aca="false">0.4*$BE$7</f>
        <v>2400</v>
      </c>
      <c r="E7" s="0" t="n">
        <f aca="false">0.3*$BE$7</f>
        <v>1800</v>
      </c>
      <c r="F7" s="0" t="n">
        <f aca="false">0*$BE$7</f>
        <v>0</v>
      </c>
      <c r="G7" s="0" t="n">
        <f aca="false">0*$BE$7</f>
        <v>0</v>
      </c>
      <c r="H7" s="0" t="n">
        <f aca="false">0*$BE$7</f>
        <v>0</v>
      </c>
      <c r="I7" s="0" t="n">
        <f aca="false">0*$BE$7</f>
        <v>0</v>
      </c>
      <c r="J7" s="0" t="n">
        <f aca="false">0*$BE$7</f>
        <v>0</v>
      </c>
      <c r="K7" s="0" t="n">
        <f aca="false">0*$BE$7</f>
        <v>0</v>
      </c>
      <c r="L7" s="0" t="n">
        <f aca="false">0*$BE$7</f>
        <v>0</v>
      </c>
      <c r="M7" s="0" t="n">
        <f aca="false">0*$BE$7</f>
        <v>0</v>
      </c>
      <c r="N7" s="0" t="n">
        <f aca="false">0*$BE$7</f>
        <v>0</v>
      </c>
      <c r="O7" s="0" t="n">
        <f aca="false">0*$BE$7</f>
        <v>0</v>
      </c>
      <c r="P7" s="0" t="n">
        <f aca="false">0*$BE$7</f>
        <v>0</v>
      </c>
      <c r="Q7" s="0" t="n">
        <f aca="false">0*$BE$7</f>
        <v>0</v>
      </c>
      <c r="R7" s="0" t="n">
        <f aca="false">0*$BE$7</f>
        <v>0</v>
      </c>
      <c r="S7" s="0" t="n">
        <f aca="false">0*$BE$7</f>
        <v>0</v>
      </c>
      <c r="T7" s="0" t="n">
        <f aca="false">0*$BE$7</f>
        <v>0</v>
      </c>
      <c r="U7" s="0" t="n">
        <f aca="false">0*$BE$7</f>
        <v>0</v>
      </c>
      <c r="V7" s="0" t="n">
        <f aca="false">0*$BE$7</f>
        <v>0</v>
      </c>
      <c r="W7" s="0" t="n">
        <f aca="false">0*$BE$7</f>
        <v>0</v>
      </c>
      <c r="X7" s="0" t="n">
        <f aca="false">0*$BE$7</f>
        <v>0</v>
      </c>
      <c r="Y7" s="0" t="n">
        <f aca="false">0*$BE$7</f>
        <v>0</v>
      </c>
      <c r="Z7" s="0" t="n">
        <f aca="false">0*$BE$7</f>
        <v>0</v>
      </c>
      <c r="AA7" s="0" t="n">
        <f aca="false">0*$BE$7</f>
        <v>0</v>
      </c>
      <c r="AB7" s="0" t="n">
        <f aca="false">0*$BE$7</f>
        <v>0</v>
      </c>
      <c r="AC7" s="0" t="n">
        <f aca="false">0*$BE$7</f>
        <v>0</v>
      </c>
      <c r="AD7" s="0" t="n">
        <f aca="false">0*$BE$7</f>
        <v>0</v>
      </c>
      <c r="AE7" s="0" t="n">
        <f aca="false">0*$BE$7</f>
        <v>0</v>
      </c>
      <c r="AF7" s="0" t="n">
        <f aca="false">0*$BE$7</f>
        <v>0</v>
      </c>
      <c r="AG7" s="0" t="n">
        <f aca="false">0*$BE$7</f>
        <v>0</v>
      </c>
      <c r="AH7" s="0" t="n">
        <f aca="false">0*$BE$7</f>
        <v>0</v>
      </c>
      <c r="AI7" s="0" t="n">
        <f aca="false">0*$BE$7</f>
        <v>0</v>
      </c>
      <c r="AJ7" s="0" t="n">
        <f aca="false">0*$BE$7</f>
        <v>0</v>
      </c>
      <c r="AK7" s="0" t="n">
        <f aca="false">0*$BE$7</f>
        <v>0</v>
      </c>
      <c r="AL7" s="0" t="n">
        <f aca="false">0*$BE$7</f>
        <v>0</v>
      </c>
      <c r="AM7" s="0" t="n">
        <f aca="false">0*$BE$7</f>
        <v>0</v>
      </c>
      <c r="AN7" s="0" t="n">
        <f aca="false">0*$BE$7</f>
        <v>0</v>
      </c>
      <c r="AO7" s="0" t="n">
        <f aca="false">0*$BE$7</f>
        <v>0</v>
      </c>
      <c r="AP7" s="0" t="n">
        <f aca="false">0*$BE$7</f>
        <v>0</v>
      </c>
      <c r="AQ7" s="0" t="n">
        <f aca="false">0*$BE$7</f>
        <v>0</v>
      </c>
      <c r="AR7" s="0" t="n">
        <f aca="false">0*$BE$7</f>
        <v>0</v>
      </c>
      <c r="AS7" s="0" t="n">
        <f aca="false">0*$BE$7</f>
        <v>0</v>
      </c>
      <c r="AT7" s="0" t="n">
        <f aca="false">0*$BE$7</f>
        <v>0</v>
      </c>
      <c r="AU7" s="0" t="n">
        <f aca="false">0*$BE$7</f>
        <v>0</v>
      </c>
      <c r="AV7" s="0" t="n">
        <f aca="false">0*$BE$7</f>
        <v>0</v>
      </c>
      <c r="AW7" s="0" t="n">
        <f aca="false">0*$BE$7</f>
        <v>0</v>
      </c>
      <c r="AX7" s="0" t="n">
        <f aca="false">0*$BE$7</f>
        <v>0</v>
      </c>
      <c r="AY7" s="0" t="n">
        <f aca="false">0*$BE$7</f>
        <v>0</v>
      </c>
      <c r="AZ7" s="0" t="n">
        <f aca="false">0*$BE$7</f>
        <v>0</v>
      </c>
      <c r="BA7" s="0" t="n">
        <f aca="false">0*$BE$7</f>
        <v>0</v>
      </c>
      <c r="BB7" s="0" t="n">
        <f aca="false">0*$BE$7</f>
        <v>0</v>
      </c>
      <c r="BC7" s="0" t="n">
        <f aca="false">0*$BE$7</f>
        <v>0</v>
      </c>
      <c r="BE7" s="2" t="n">
        <v>6000</v>
      </c>
    </row>
    <row r="8" customFormat="false" ht="15" hidden="false" customHeight="false" outlineLevel="0" collapsed="false">
      <c r="A8" s="0" t="s">
        <v>114</v>
      </c>
      <c r="B8" s="0" t="s">
        <v>39</v>
      </c>
      <c r="C8" s="0" t="n">
        <f aca="false">0.5*$BE$8</f>
        <v>1500</v>
      </c>
      <c r="D8" s="0" t="n">
        <f aca="false">0.5*$BE$8</f>
        <v>1500</v>
      </c>
      <c r="E8" s="0" t="n">
        <f aca="false">0*$BE$8</f>
        <v>0</v>
      </c>
      <c r="F8" s="0" t="n">
        <f aca="false">0*$BE$8</f>
        <v>0</v>
      </c>
      <c r="G8" s="0" t="n">
        <f aca="false">0*$BE$8</f>
        <v>0</v>
      </c>
      <c r="H8" s="0" t="n">
        <f aca="false">0*$BE$8</f>
        <v>0</v>
      </c>
      <c r="I8" s="0" t="n">
        <f aca="false">0*$BE$8</f>
        <v>0</v>
      </c>
      <c r="J8" s="0" t="n">
        <f aca="false">0*$BE$8</f>
        <v>0</v>
      </c>
      <c r="K8" s="0" t="n">
        <f aca="false">0*$BE$8</f>
        <v>0</v>
      </c>
      <c r="L8" s="0" t="n">
        <f aca="false">0*$BE$8</f>
        <v>0</v>
      </c>
      <c r="M8" s="0" t="n">
        <f aca="false">0*$BE$8</f>
        <v>0</v>
      </c>
      <c r="N8" s="0" t="n">
        <f aca="false">0*$BE$8</f>
        <v>0</v>
      </c>
      <c r="O8" s="0" t="n">
        <f aca="false">0*$BE$8</f>
        <v>0</v>
      </c>
      <c r="P8" s="0" t="n">
        <f aca="false">0*$BE$8</f>
        <v>0</v>
      </c>
      <c r="Q8" s="0" t="n">
        <f aca="false">0*$BE$8</f>
        <v>0</v>
      </c>
      <c r="R8" s="0" t="n">
        <f aca="false">0*$BE$8</f>
        <v>0</v>
      </c>
      <c r="S8" s="0" t="n">
        <f aca="false">0*$BE$8</f>
        <v>0</v>
      </c>
      <c r="T8" s="0" t="n">
        <f aca="false">0*$BE$8</f>
        <v>0</v>
      </c>
      <c r="U8" s="0" t="n">
        <f aca="false">0*$BE$8</f>
        <v>0</v>
      </c>
      <c r="V8" s="0" t="n">
        <f aca="false">0*$BE$8</f>
        <v>0</v>
      </c>
      <c r="W8" s="0" t="n">
        <f aca="false">0*$BE$8</f>
        <v>0</v>
      </c>
      <c r="X8" s="0" t="n">
        <f aca="false">0*$BE$8</f>
        <v>0</v>
      </c>
      <c r="Y8" s="0" t="n">
        <f aca="false">0*$BE$8</f>
        <v>0</v>
      </c>
      <c r="Z8" s="0" t="n">
        <f aca="false">0*$BE$8</f>
        <v>0</v>
      </c>
      <c r="AA8" s="0" t="n">
        <f aca="false">0*$BE$8</f>
        <v>0</v>
      </c>
      <c r="AB8" s="0" t="n">
        <f aca="false">0*$BE$8</f>
        <v>0</v>
      </c>
      <c r="AC8" s="0" t="n">
        <f aca="false">0*$BE$8</f>
        <v>0</v>
      </c>
      <c r="AD8" s="0" t="n">
        <f aca="false">0*$BE$8</f>
        <v>0</v>
      </c>
      <c r="AE8" s="0" t="n">
        <f aca="false">0*$BE$8</f>
        <v>0</v>
      </c>
      <c r="AF8" s="0" t="n">
        <f aca="false">0*$BE$8</f>
        <v>0</v>
      </c>
      <c r="AG8" s="0" t="n">
        <f aca="false">0*$BE$8</f>
        <v>0</v>
      </c>
      <c r="AH8" s="0" t="n">
        <f aca="false">0*$BE$8</f>
        <v>0</v>
      </c>
      <c r="AI8" s="0" t="n">
        <f aca="false">0*$BE$8</f>
        <v>0</v>
      </c>
      <c r="AJ8" s="0" t="n">
        <f aca="false">0*$BE$8</f>
        <v>0</v>
      </c>
      <c r="AK8" s="0" t="n">
        <f aca="false">0*$BE$8</f>
        <v>0</v>
      </c>
      <c r="AL8" s="0" t="n">
        <f aca="false">0*$BE$8</f>
        <v>0</v>
      </c>
      <c r="AM8" s="0" t="n">
        <f aca="false">0*$BE$8</f>
        <v>0</v>
      </c>
      <c r="AN8" s="0" t="n">
        <f aca="false">0*$BE$8</f>
        <v>0</v>
      </c>
      <c r="AO8" s="0" t="n">
        <f aca="false">0*$BE$8</f>
        <v>0</v>
      </c>
      <c r="AP8" s="0" t="n">
        <f aca="false">0*$BE$8</f>
        <v>0</v>
      </c>
      <c r="AQ8" s="0" t="n">
        <f aca="false">0*$BE$8</f>
        <v>0</v>
      </c>
      <c r="AR8" s="0" t="n">
        <f aca="false">0*$BE$8</f>
        <v>0</v>
      </c>
      <c r="AS8" s="0" t="n">
        <f aca="false">0*$BE$8</f>
        <v>0</v>
      </c>
      <c r="AT8" s="0" t="n">
        <f aca="false">0*$BE$8</f>
        <v>0</v>
      </c>
      <c r="AU8" s="0" t="n">
        <f aca="false">0*$BE$8</f>
        <v>0</v>
      </c>
      <c r="AV8" s="0" t="n">
        <f aca="false">0*$BE$8</f>
        <v>0</v>
      </c>
      <c r="AW8" s="0" t="n">
        <f aca="false">0*$BE$8</f>
        <v>0</v>
      </c>
      <c r="AX8" s="0" t="n">
        <f aca="false">0*$BE$8</f>
        <v>0</v>
      </c>
      <c r="AY8" s="0" t="n">
        <f aca="false">0*$BE$8</f>
        <v>0</v>
      </c>
      <c r="AZ8" s="0" t="n">
        <f aca="false">0*$BE$8</f>
        <v>0</v>
      </c>
      <c r="BA8" s="0" t="n">
        <f aca="false">0*$BE$8</f>
        <v>0</v>
      </c>
      <c r="BB8" s="0" t="n">
        <f aca="false">0*$BE$8</f>
        <v>0</v>
      </c>
      <c r="BC8" s="0" t="n">
        <f aca="false">0*$BE$8</f>
        <v>0</v>
      </c>
      <c r="BE8" s="2" t="n">
        <v>3000</v>
      </c>
    </row>
    <row r="9" customFormat="false" ht="15" hidden="false" customHeight="false" outlineLevel="0" collapsed="false">
      <c r="A9" s="0" t="s">
        <v>115</v>
      </c>
      <c r="B9" s="0" t="s">
        <v>39</v>
      </c>
      <c r="C9" s="0" t="n">
        <f aca="false">1*$BE$9</f>
        <v>4000</v>
      </c>
      <c r="D9" s="0" t="n">
        <f aca="false">0*$BE$9</f>
        <v>0</v>
      </c>
      <c r="E9" s="0" t="n">
        <f aca="false">0*$BE$9</f>
        <v>0</v>
      </c>
      <c r="F9" s="0" t="n">
        <f aca="false">0*$BE$9</f>
        <v>0</v>
      </c>
      <c r="G9" s="0" t="n">
        <f aca="false">0*$BE$9</f>
        <v>0</v>
      </c>
      <c r="H9" s="0" t="n">
        <f aca="false">0*$BE$9</f>
        <v>0</v>
      </c>
      <c r="I9" s="0" t="n">
        <f aca="false">0*$BE$9</f>
        <v>0</v>
      </c>
      <c r="J9" s="0" t="n">
        <f aca="false">0*$BE$9</f>
        <v>0</v>
      </c>
      <c r="K9" s="0" t="n">
        <f aca="false">0*$BE$9</f>
        <v>0</v>
      </c>
      <c r="L9" s="0" t="n">
        <f aca="false">0*$BE$9</f>
        <v>0</v>
      </c>
      <c r="M9" s="0" t="n">
        <f aca="false">0*$BE$9</f>
        <v>0</v>
      </c>
      <c r="N9" s="0" t="n">
        <f aca="false">0*$BE$9</f>
        <v>0</v>
      </c>
      <c r="O9" s="0" t="n">
        <f aca="false">0*$BE$9</f>
        <v>0</v>
      </c>
      <c r="P9" s="0" t="n">
        <f aca="false">0*$BE$9</f>
        <v>0</v>
      </c>
      <c r="Q9" s="0" t="n">
        <f aca="false">0*$BE$9</f>
        <v>0</v>
      </c>
      <c r="R9" s="0" t="n">
        <f aca="false">0*$BE$9</f>
        <v>0</v>
      </c>
      <c r="S9" s="0" t="n">
        <f aca="false">0*$BE$9</f>
        <v>0</v>
      </c>
      <c r="T9" s="0" t="n">
        <f aca="false">0*$BE$9</f>
        <v>0</v>
      </c>
      <c r="U9" s="0" t="n">
        <f aca="false">0*$BE$9</f>
        <v>0</v>
      </c>
      <c r="V9" s="0" t="n">
        <f aca="false">0*$BE$9</f>
        <v>0</v>
      </c>
      <c r="W9" s="0" t="n">
        <f aca="false">0*$BE$9</f>
        <v>0</v>
      </c>
      <c r="X9" s="0" t="n">
        <f aca="false">0*$BE$9</f>
        <v>0</v>
      </c>
      <c r="Y9" s="0" t="n">
        <f aca="false">0*$BE$9</f>
        <v>0</v>
      </c>
      <c r="Z9" s="0" t="n">
        <f aca="false">0*$BE$9</f>
        <v>0</v>
      </c>
      <c r="AA9" s="0" t="n">
        <f aca="false">0*$BE$9</f>
        <v>0</v>
      </c>
      <c r="AB9" s="0" t="n">
        <f aca="false">0*$BE$9</f>
        <v>0</v>
      </c>
      <c r="AC9" s="0" t="n">
        <f aca="false">0*$BE$9</f>
        <v>0</v>
      </c>
      <c r="AD9" s="0" t="n">
        <f aca="false">0*$BE$9</f>
        <v>0</v>
      </c>
      <c r="AE9" s="0" t="n">
        <f aca="false">0*$BE$9</f>
        <v>0</v>
      </c>
      <c r="AF9" s="0" t="n">
        <f aca="false">0*$BE$9</f>
        <v>0</v>
      </c>
      <c r="AG9" s="0" t="n">
        <f aca="false">0*$BE$9</f>
        <v>0</v>
      </c>
      <c r="AH9" s="0" t="n">
        <f aca="false">0*$BE$9</f>
        <v>0</v>
      </c>
      <c r="AI9" s="0" t="n">
        <f aca="false">0*$BE$9</f>
        <v>0</v>
      </c>
      <c r="AJ9" s="0" t="n">
        <f aca="false">0*$BE$9</f>
        <v>0</v>
      </c>
      <c r="AK9" s="0" t="n">
        <f aca="false">0*$BE$9</f>
        <v>0</v>
      </c>
      <c r="AL9" s="0" t="n">
        <f aca="false">0*$BE$9</f>
        <v>0</v>
      </c>
      <c r="AM9" s="0" t="n">
        <f aca="false">0*$BE$9</f>
        <v>0</v>
      </c>
      <c r="AN9" s="0" t="n">
        <f aca="false">0*$BE$9</f>
        <v>0</v>
      </c>
      <c r="AO9" s="0" t="n">
        <f aca="false">0*$BE$9</f>
        <v>0</v>
      </c>
      <c r="AP9" s="0" t="n">
        <f aca="false">0*$BE$9</f>
        <v>0</v>
      </c>
      <c r="AQ9" s="0" t="n">
        <f aca="false">0*$BE$9</f>
        <v>0</v>
      </c>
      <c r="AR9" s="0" t="n">
        <f aca="false">0*$BE$9</f>
        <v>0</v>
      </c>
      <c r="AS9" s="0" t="n">
        <f aca="false">0*$BE$9</f>
        <v>0</v>
      </c>
      <c r="AT9" s="0" t="n">
        <f aca="false">0*$BE$9</f>
        <v>0</v>
      </c>
      <c r="AU9" s="0" t="n">
        <f aca="false">0*$BE$9</f>
        <v>0</v>
      </c>
      <c r="AV9" s="0" t="n">
        <f aca="false">0*$BE$9</f>
        <v>0</v>
      </c>
      <c r="AW9" s="0" t="n">
        <f aca="false">0*$BE$9</f>
        <v>0</v>
      </c>
      <c r="AX9" s="0" t="n">
        <f aca="false">0*$BE$9</f>
        <v>0</v>
      </c>
      <c r="AY9" s="0" t="n">
        <f aca="false">0*$BE$9</f>
        <v>0</v>
      </c>
      <c r="AZ9" s="0" t="n">
        <f aca="false">0*$BE$9</f>
        <v>0</v>
      </c>
      <c r="BA9" s="0" t="n">
        <f aca="false">0*$BE$9</f>
        <v>0</v>
      </c>
      <c r="BB9" s="0" t="n">
        <f aca="false">0*$BE$9</f>
        <v>0</v>
      </c>
      <c r="BC9" s="0" t="n">
        <f aca="false">0*$BE$9</f>
        <v>0</v>
      </c>
      <c r="BE9" s="2" t="n">
        <v>4000</v>
      </c>
    </row>
    <row r="10" customFormat="false" ht="15" hidden="false" customHeight="false" outlineLevel="0" collapsed="false">
      <c r="A10" s="1" t="s">
        <v>116</v>
      </c>
      <c r="C10" s="1" t="n">
        <f aca="false">SUM(C6:C9)</f>
        <v>19300</v>
      </c>
      <c r="D10" s="1" t="n">
        <f aca="false">SUM(D6:D9)</f>
        <v>21900</v>
      </c>
      <c r="E10" s="1" t="n">
        <f aca="false">SUM(E6:E9)</f>
        <v>1800</v>
      </c>
      <c r="F10" s="1" t="n">
        <f aca="false">SUM(F6:F9)</f>
        <v>0</v>
      </c>
      <c r="G10" s="1" t="n">
        <f aca="false">SUM(G6:G9)</f>
        <v>0</v>
      </c>
      <c r="H10" s="1" t="n">
        <f aca="false">SUM(H6:H9)</f>
        <v>0</v>
      </c>
      <c r="I10" s="1" t="n">
        <f aca="false">SUM(I6:I9)</f>
        <v>0</v>
      </c>
      <c r="J10" s="1" t="n">
        <f aca="false">SUM(J6:J9)</f>
        <v>0</v>
      </c>
      <c r="K10" s="1" t="n">
        <f aca="false">SUM(K6:K9)</f>
        <v>0</v>
      </c>
      <c r="L10" s="1" t="n">
        <f aca="false">SUM(L6:L9)</f>
        <v>0</v>
      </c>
      <c r="M10" s="1" t="n">
        <f aca="false">SUM(M6:M9)</f>
        <v>0</v>
      </c>
      <c r="N10" s="1" t="n">
        <f aca="false">SUM(N6:N9)</f>
        <v>0</v>
      </c>
      <c r="O10" s="1" t="n">
        <f aca="false">SUM(O6:O9)</f>
        <v>0</v>
      </c>
      <c r="P10" s="1" t="n">
        <f aca="false">SUM(P6:P9)</f>
        <v>0</v>
      </c>
      <c r="Q10" s="1" t="n">
        <f aca="false">SUM(Q6:Q9)</f>
        <v>0</v>
      </c>
      <c r="R10" s="1" t="n">
        <f aca="false">SUM(R6:R9)</f>
        <v>0</v>
      </c>
      <c r="S10" s="1" t="n">
        <f aca="false">SUM(S6:S9)</f>
        <v>0</v>
      </c>
      <c r="T10" s="1" t="n">
        <f aca="false">SUM(T6:T9)</f>
        <v>0</v>
      </c>
      <c r="U10" s="1" t="n">
        <f aca="false">SUM(U6:U9)</f>
        <v>0</v>
      </c>
      <c r="V10" s="1" t="n">
        <f aca="false">SUM(V6:V9)</f>
        <v>0</v>
      </c>
      <c r="W10" s="1" t="n">
        <f aca="false">SUM(W6:W9)</f>
        <v>0</v>
      </c>
      <c r="X10" s="1" t="n">
        <f aca="false">SUM(X6:X9)</f>
        <v>0</v>
      </c>
      <c r="Y10" s="1" t="n">
        <f aca="false">SUM(Y6:Y9)</f>
        <v>0</v>
      </c>
      <c r="Z10" s="1" t="n">
        <f aca="false">SUM(Z6:Z9)</f>
        <v>0</v>
      </c>
      <c r="AA10" s="1" t="n">
        <f aca="false">SUM(AA6:AA9)</f>
        <v>0</v>
      </c>
      <c r="AB10" s="1" t="n">
        <f aca="false">SUM(AB6:AB9)</f>
        <v>0</v>
      </c>
      <c r="AC10" s="1" t="n">
        <f aca="false">SUM(AC6:AC9)</f>
        <v>0</v>
      </c>
      <c r="AD10" s="1" t="n">
        <f aca="false">SUM(AD6:AD9)</f>
        <v>0</v>
      </c>
      <c r="AE10" s="1" t="n">
        <f aca="false">SUM(AE6:AE9)</f>
        <v>0</v>
      </c>
      <c r="AF10" s="1" t="n">
        <f aca="false">SUM(AF6:AF9)</f>
        <v>0</v>
      </c>
      <c r="AG10" s="1" t="n">
        <f aca="false">SUM(AG6:AG9)</f>
        <v>0</v>
      </c>
      <c r="AH10" s="1" t="n">
        <f aca="false">SUM(AH6:AH9)</f>
        <v>0</v>
      </c>
      <c r="AI10" s="1" t="n">
        <f aca="false">SUM(AI6:AI9)</f>
        <v>0</v>
      </c>
      <c r="AJ10" s="1" t="n">
        <f aca="false">SUM(AJ6:AJ9)</f>
        <v>0</v>
      </c>
      <c r="AK10" s="1" t="n">
        <f aca="false">SUM(AK6:AK9)</f>
        <v>0</v>
      </c>
      <c r="AL10" s="1" t="n">
        <f aca="false">SUM(AL6:AL9)</f>
        <v>0</v>
      </c>
      <c r="AM10" s="1" t="n">
        <f aca="false">SUM(AM6:AM9)</f>
        <v>0</v>
      </c>
      <c r="AN10" s="1" t="n">
        <f aca="false">SUM(AN6:AN9)</f>
        <v>0</v>
      </c>
      <c r="AO10" s="1" t="n">
        <f aca="false">SUM(AO6:AO9)</f>
        <v>0</v>
      </c>
      <c r="AP10" s="1" t="n">
        <f aca="false">SUM(AP6:AP9)</f>
        <v>0</v>
      </c>
      <c r="AQ10" s="1" t="n">
        <f aca="false">SUM(AQ6:AQ9)</f>
        <v>0</v>
      </c>
      <c r="AR10" s="1" t="n">
        <f aca="false">SUM(AR6:AR9)</f>
        <v>0</v>
      </c>
      <c r="AS10" s="1" t="n">
        <f aca="false">SUM(AS6:AS9)</f>
        <v>0</v>
      </c>
      <c r="AT10" s="1" t="n">
        <f aca="false">SUM(AT6:AT9)</f>
        <v>0</v>
      </c>
      <c r="AU10" s="1" t="n">
        <f aca="false">SUM(AU6:AU9)</f>
        <v>0</v>
      </c>
      <c r="AV10" s="1" t="n">
        <f aca="false">SUM(AV6:AV9)</f>
        <v>0</v>
      </c>
      <c r="AW10" s="1" t="n">
        <f aca="false">SUM(AW6:AW9)</f>
        <v>0</v>
      </c>
      <c r="AX10" s="1" t="n">
        <f aca="false">SUM(AX6:AX9)</f>
        <v>0</v>
      </c>
      <c r="AY10" s="1" t="n">
        <f aca="false">SUM(AY6:AY9)</f>
        <v>0</v>
      </c>
      <c r="AZ10" s="1" t="n">
        <f aca="false">SUM(AZ6:AZ9)</f>
        <v>0</v>
      </c>
      <c r="BA10" s="1" t="n">
        <f aca="false">SUM(BA6:BA9)</f>
        <v>0</v>
      </c>
      <c r="BB10" s="1" t="n">
        <f aca="false">SUM(BB6:BB9)</f>
        <v>0</v>
      </c>
      <c r="BC10" s="1" t="n">
        <f aca="false">SUM(BC6:BC9)</f>
        <v>0</v>
      </c>
      <c r="BE10" s="1" t="n">
        <f aca="false">SUM(BE6:BE9)</f>
        <v>43000</v>
      </c>
    </row>
    <row r="12" customFormat="false" ht="15" hidden="false" customHeight="false" outlineLevel="0" collapsed="false">
      <c r="A12" s="0" t="s">
        <v>117</v>
      </c>
      <c r="C12" s="0" t="n">
        <f aca="false">IDC!$C$30</f>
        <v>0</v>
      </c>
    </row>
    <row r="13" customFormat="false" ht="15" hidden="false" customHeight="false" outlineLevel="0" collapsed="false">
      <c r="A13" s="0" t="s">
        <v>118</v>
      </c>
      <c r="C13" s="0" t="n">
        <f aca="false">Inputs!$C$36</f>
        <v>0</v>
      </c>
    </row>
    <row r="15" customFormat="false" ht="15" hidden="false" customHeight="false" outlineLevel="0" collapsed="false">
      <c r="A15" s="1" t="s">
        <v>119</v>
      </c>
      <c r="C15" s="1" t="n">
        <f aca="false">BE10+C12+C13</f>
        <v>43000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120</v>
      </c>
    </row>
    <row r="3" customFormat="false" ht="15" hidden="false" customHeight="false" outlineLevel="0" collapsed="false">
      <c r="A3" s="0" t="s">
        <v>121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  <c r="E5" s="1" t="s">
        <v>59</v>
      </c>
    </row>
    <row r="6" customFormat="false" ht="15" hidden="false" customHeight="false" outlineLevel="0" collapsed="false">
      <c r="A6" s="0" t="s">
        <v>122</v>
      </c>
      <c r="C6" s="0" t="n">
        <v>0</v>
      </c>
      <c r="D6" s="0" t="n">
        <v>0</v>
      </c>
      <c r="E6" s="0" t="n">
        <v>0</v>
      </c>
    </row>
    <row r="7" customFormat="false" ht="15" hidden="false" customHeight="false" outlineLevel="0" collapsed="false">
      <c r="A7" s="0" t="s">
        <v>123</v>
      </c>
      <c r="C7" s="0" t="n">
        <v>0</v>
      </c>
      <c r="D7" s="0" t="n">
        <f aca="false">C9</f>
        <v>0</v>
      </c>
      <c r="E7" s="0" t="n">
        <f aca="false">D9</f>
        <v>0</v>
      </c>
    </row>
    <row r="8" customFormat="false" ht="15" hidden="false" customHeight="false" outlineLevel="0" collapsed="false">
      <c r="A8" s="0" t="s">
        <v>124</v>
      </c>
      <c r="C8" s="0" t="n">
        <f aca="false">(Inputs!$C$30+Inputs!$C$31/10000)/2</f>
        <v>0.0275</v>
      </c>
      <c r="D8" s="0" t="n">
        <f aca="false">(Inputs!$C$30+Inputs!$C$31/10000)/2</f>
        <v>0.0275</v>
      </c>
      <c r="E8" s="0" t="n">
        <f aca="false">(Inputs!$C$30+Inputs!$C$31/10000)/2</f>
        <v>0.0275</v>
      </c>
    </row>
    <row r="9" customFormat="false" ht="15" hidden="false" customHeight="false" outlineLevel="0" collapsed="false">
      <c r="A9" s="0" t="s">
        <v>125</v>
      </c>
      <c r="C9" s="0" t="n">
        <f aca="false">C7+C6</f>
        <v>0</v>
      </c>
      <c r="D9" s="0" t="n">
        <f aca="false">D7+D6</f>
        <v>0</v>
      </c>
      <c r="E9" s="0" t="n">
        <f aca="false">E7+E6</f>
        <v>0</v>
      </c>
    </row>
    <row r="10" customFormat="false" ht="15" hidden="false" customHeight="false" outlineLevel="0" collapsed="false">
      <c r="A10" s="0" t="s">
        <v>126</v>
      </c>
      <c r="C10" s="0" t="n">
        <f aca="false">C7*C8</f>
        <v>0</v>
      </c>
      <c r="D10" s="0" t="n">
        <f aca="false">D7*D8</f>
        <v>0</v>
      </c>
      <c r="E10" s="0" t="n">
        <f aca="false">E7*E8</f>
        <v>0</v>
      </c>
    </row>
    <row r="30" customFormat="false" ht="15" hidden="false" customHeight="false" outlineLevel="0" collapsed="false">
      <c r="A30" s="1" t="s">
        <v>127</v>
      </c>
      <c r="C30" s="1" t="n">
        <f aca="false">SUM(C10:E10)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128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  <c r="BC3" s="1" t="s">
        <v>109</v>
      </c>
    </row>
    <row r="4" customFormat="false" ht="15" hidden="false" customHeight="false" outlineLevel="0" collapsed="false">
      <c r="A4" s="0" t="s">
        <v>129</v>
      </c>
      <c r="C4" s="0" t="s">
        <v>130</v>
      </c>
      <c r="D4" s="0" t="s">
        <v>130</v>
      </c>
      <c r="E4" s="0" t="s">
        <v>130</v>
      </c>
      <c r="F4" s="0" t="n">
        <v>1</v>
      </c>
      <c r="G4" s="0" t="n">
        <v>1</v>
      </c>
      <c r="H4" s="0" t="n">
        <v>2</v>
      </c>
      <c r="I4" s="0" t="n">
        <v>2</v>
      </c>
      <c r="J4" s="0" t="n">
        <v>3</v>
      </c>
      <c r="K4" s="0" t="n">
        <v>3</v>
      </c>
      <c r="L4" s="0" t="n">
        <v>4</v>
      </c>
      <c r="M4" s="0" t="n">
        <v>4</v>
      </c>
      <c r="N4" s="0" t="n">
        <v>5</v>
      </c>
      <c r="O4" s="0" t="n">
        <v>5</v>
      </c>
      <c r="P4" s="0" t="n">
        <v>6</v>
      </c>
      <c r="Q4" s="0" t="n">
        <v>6</v>
      </c>
      <c r="R4" s="0" t="n">
        <v>7</v>
      </c>
      <c r="S4" s="0" t="n">
        <v>7</v>
      </c>
      <c r="T4" s="0" t="n">
        <v>8</v>
      </c>
      <c r="U4" s="0" t="n">
        <v>8</v>
      </c>
      <c r="V4" s="0" t="n">
        <v>9</v>
      </c>
      <c r="W4" s="0" t="n">
        <v>9</v>
      </c>
      <c r="X4" s="0" t="n">
        <v>10</v>
      </c>
      <c r="Y4" s="0" t="n">
        <v>10</v>
      </c>
      <c r="Z4" s="0" t="n">
        <v>11</v>
      </c>
      <c r="AA4" s="0" t="n">
        <v>11</v>
      </c>
      <c r="AB4" s="0" t="n">
        <v>12</v>
      </c>
      <c r="AC4" s="0" t="n">
        <v>12</v>
      </c>
      <c r="AD4" s="0" t="n">
        <v>13</v>
      </c>
      <c r="AE4" s="0" t="n">
        <v>13</v>
      </c>
      <c r="AF4" s="0" t="n">
        <v>14</v>
      </c>
      <c r="AG4" s="0" t="n">
        <v>14</v>
      </c>
      <c r="AH4" s="0" t="n">
        <v>15</v>
      </c>
      <c r="AI4" s="0" t="n">
        <v>15</v>
      </c>
      <c r="AJ4" s="0" t="n">
        <v>16</v>
      </c>
      <c r="AK4" s="0" t="n">
        <v>16</v>
      </c>
      <c r="AL4" s="0" t="n">
        <v>17</v>
      </c>
      <c r="AM4" s="0" t="n">
        <v>17</v>
      </c>
      <c r="AN4" s="0" t="n">
        <v>18</v>
      </c>
      <c r="AO4" s="0" t="n">
        <v>18</v>
      </c>
      <c r="AP4" s="0" t="n">
        <v>19</v>
      </c>
      <c r="AQ4" s="0" t="n">
        <v>19</v>
      </c>
      <c r="AR4" s="0" t="n">
        <v>20</v>
      </c>
      <c r="AS4" s="0" t="n">
        <v>20</v>
      </c>
      <c r="AT4" s="0" t="n">
        <v>21</v>
      </c>
      <c r="AU4" s="0" t="n">
        <v>21</v>
      </c>
      <c r="AV4" s="0" t="n">
        <v>22</v>
      </c>
      <c r="AW4" s="0" t="n">
        <v>22</v>
      </c>
      <c r="AX4" s="0" t="n">
        <v>23</v>
      </c>
      <c r="AY4" s="0" t="n">
        <v>23</v>
      </c>
      <c r="AZ4" s="0" t="n">
        <v>24</v>
      </c>
      <c r="BA4" s="0" t="n">
        <v>24</v>
      </c>
      <c r="BB4" s="0" t="n">
        <v>25</v>
      </c>
      <c r="BC4" s="0" t="n">
        <v>25</v>
      </c>
    </row>
    <row r="5" customFormat="false" ht="15" hidden="false" customHeight="false" outlineLevel="0" collapsed="false">
      <c r="BE5" s="1" t="s">
        <v>131</v>
      </c>
    </row>
    <row r="6" customFormat="false" ht="15" hidden="false" customHeight="false" outlineLevel="0" collapsed="false">
      <c r="A6" s="0" t="s">
        <v>132</v>
      </c>
      <c r="B6" s="0" t="s">
        <v>39</v>
      </c>
      <c r="C6" s="0" t="n">
        <v>0</v>
      </c>
      <c r="D6" s="0" t="n">
        <v>0</v>
      </c>
      <c r="E6" s="0" t="n">
        <v>0</v>
      </c>
      <c r="F6" s="0" t="n">
        <f aca="false">$BE$6/2*(1+Inputs!$C$24)^(1-1)</f>
        <v>100</v>
      </c>
      <c r="G6" s="0" t="n">
        <f aca="false">$BE$6/2*(1+Inputs!$C$24)^(1-1)</f>
        <v>100</v>
      </c>
      <c r="H6" s="0" t="n">
        <f aca="false">$BE$6/2*(1+Inputs!$C$24)^(2-1)</f>
        <v>102</v>
      </c>
      <c r="I6" s="0" t="n">
        <f aca="false">$BE$6/2*(1+Inputs!$C$24)^(2-1)</f>
        <v>102</v>
      </c>
      <c r="J6" s="0" t="n">
        <f aca="false">$BE$6/2*(1+Inputs!$C$24)^(3-1)</f>
        <v>104.04</v>
      </c>
      <c r="K6" s="0" t="n">
        <f aca="false">$BE$6/2*(1+Inputs!$C$24)^(3-1)</f>
        <v>104.04</v>
      </c>
      <c r="L6" s="0" t="n">
        <f aca="false">$BE$6/2*(1+Inputs!$C$24)^(4-1)</f>
        <v>106.1208</v>
      </c>
      <c r="M6" s="0" t="n">
        <f aca="false">$BE$6/2*(1+Inputs!$C$24)^(4-1)</f>
        <v>106.1208</v>
      </c>
      <c r="N6" s="0" t="n">
        <f aca="false">$BE$6/2*(1+Inputs!$C$24)^(5-1)</f>
        <v>108.243216</v>
      </c>
      <c r="O6" s="0" t="n">
        <f aca="false">$BE$6/2*(1+Inputs!$C$24)^(5-1)</f>
        <v>108.243216</v>
      </c>
      <c r="P6" s="0" t="n">
        <f aca="false">$BE$6/2*(1+Inputs!$C$24)^(6-1)</f>
        <v>110.40808032</v>
      </c>
      <c r="Q6" s="0" t="n">
        <f aca="false">$BE$6/2*(1+Inputs!$C$24)^(6-1)</f>
        <v>110.40808032</v>
      </c>
      <c r="R6" s="0" t="n">
        <f aca="false">$BE$6/2*(1+Inputs!$C$24)^(7-1)</f>
        <v>112.6162419264</v>
      </c>
      <c r="S6" s="0" t="n">
        <f aca="false">$BE$6/2*(1+Inputs!$C$24)^(7-1)</f>
        <v>112.6162419264</v>
      </c>
      <c r="T6" s="0" t="n">
        <f aca="false">$BE$6/2*(1+Inputs!$C$24)^(8-1)</f>
        <v>114.868566764928</v>
      </c>
      <c r="U6" s="0" t="n">
        <f aca="false">$BE$6/2*(1+Inputs!$C$24)^(8-1)</f>
        <v>114.868566764928</v>
      </c>
      <c r="V6" s="0" t="n">
        <f aca="false">$BE$6/2*(1+Inputs!$C$24)^(9-1)</f>
        <v>117.165938100227</v>
      </c>
      <c r="W6" s="0" t="n">
        <f aca="false">$BE$6/2*(1+Inputs!$C$24)^(9-1)</f>
        <v>117.165938100227</v>
      </c>
      <c r="X6" s="0" t="n">
        <f aca="false">$BE$6/2*(1+Inputs!$C$24)^(10-1)</f>
        <v>119.509256862231</v>
      </c>
      <c r="Y6" s="0" t="n">
        <f aca="false">$BE$6/2*(1+Inputs!$C$24)^(10-1)</f>
        <v>119.509256862231</v>
      </c>
      <c r="Z6" s="0" t="n">
        <f aca="false">$BE$6/2*(1+Inputs!$C$24)^(11-1)</f>
        <v>121.899441999476</v>
      </c>
      <c r="AA6" s="0" t="n">
        <f aca="false">$BE$6/2*(1+Inputs!$C$24)^(11-1)</f>
        <v>121.899441999476</v>
      </c>
      <c r="AB6" s="0" t="n">
        <f aca="false">$BE$6/2*(1+Inputs!$C$24)^(12-1)</f>
        <v>124.337430839465</v>
      </c>
      <c r="AC6" s="0" t="n">
        <f aca="false">$BE$6/2*(1+Inputs!$C$24)^(12-1)</f>
        <v>124.337430839465</v>
      </c>
      <c r="AD6" s="0" t="n">
        <f aca="false">$BE$6/2*(1+Inputs!$C$24)^(13-1)</f>
        <v>126.824179456255</v>
      </c>
      <c r="AE6" s="0" t="n">
        <f aca="false">$BE$6/2*(1+Inputs!$C$24)^(13-1)</f>
        <v>126.824179456255</v>
      </c>
      <c r="AF6" s="0" t="n">
        <f aca="false">$BE$6/2*(1+Inputs!$C$24)^(14-1)</f>
        <v>129.36066304538</v>
      </c>
      <c r="AG6" s="0" t="n">
        <f aca="false">$BE$6/2*(1+Inputs!$C$24)^(14-1)</f>
        <v>129.36066304538</v>
      </c>
      <c r="AH6" s="0" t="n">
        <f aca="false">$BE$6/2*(1+Inputs!$C$24)^(15-1)</f>
        <v>131.947876306287</v>
      </c>
      <c r="AI6" s="0" t="n">
        <f aca="false">$BE$6/2*(1+Inputs!$C$24)^(15-1)</f>
        <v>131.947876306287</v>
      </c>
      <c r="AJ6" s="0" t="n">
        <f aca="false">$BE$6/2*(1+Inputs!$C$24)^(16-1)</f>
        <v>134.586833832413</v>
      </c>
      <c r="AK6" s="0" t="n">
        <f aca="false">$BE$6/2*(1+Inputs!$C$24)^(16-1)</f>
        <v>134.586833832413</v>
      </c>
      <c r="AL6" s="0" t="n">
        <f aca="false">$BE$6/2*(1+Inputs!$C$24)^(17-1)</f>
        <v>137.278570509061</v>
      </c>
      <c r="AM6" s="0" t="n">
        <f aca="false">$BE$6/2*(1+Inputs!$C$24)^(17-1)</f>
        <v>137.278570509061</v>
      </c>
      <c r="AN6" s="0" t="n">
        <f aca="false">$BE$6/2*(1+Inputs!$C$24)^(18-1)</f>
        <v>140.024141919242</v>
      </c>
      <c r="AO6" s="0" t="n">
        <f aca="false">$BE$6/2*(1+Inputs!$C$24)^(18-1)</f>
        <v>140.024141919242</v>
      </c>
      <c r="AP6" s="0" t="n">
        <f aca="false">$BE$6/2*(1+Inputs!$C$24)^(19-1)</f>
        <v>142.824624757627</v>
      </c>
      <c r="AQ6" s="0" t="n">
        <f aca="false">$BE$6/2*(1+Inputs!$C$24)^(19-1)</f>
        <v>142.824624757627</v>
      </c>
      <c r="AR6" s="0" t="n">
        <f aca="false">$BE$6/2*(1+Inputs!$C$24)^(20-1)</f>
        <v>145.68111725278</v>
      </c>
      <c r="AS6" s="0" t="n">
        <f aca="false">$BE$6/2*(1+Inputs!$C$24)^(20-1)</f>
        <v>145.68111725278</v>
      </c>
      <c r="AT6" s="0" t="n">
        <f aca="false">$BE$6/2*(1+Inputs!$C$24)^(21-1)</f>
        <v>148.594739597835</v>
      </c>
      <c r="AU6" s="0" t="n">
        <f aca="false">$BE$6/2*(1+Inputs!$C$24)^(21-1)</f>
        <v>148.594739597835</v>
      </c>
      <c r="AV6" s="0" t="n">
        <f aca="false">$BE$6/2*(1+Inputs!$C$24)^(22-1)</f>
        <v>151.566634389792</v>
      </c>
      <c r="AW6" s="0" t="n">
        <f aca="false">$BE$6/2*(1+Inputs!$C$24)^(22-1)</f>
        <v>151.566634389792</v>
      </c>
      <c r="AX6" s="0" t="n">
        <f aca="false">$BE$6/2*(1+Inputs!$C$24)^(23-1)</f>
        <v>154.597967077588</v>
      </c>
      <c r="AY6" s="0" t="n">
        <f aca="false">$BE$6/2*(1+Inputs!$C$24)^(23-1)</f>
        <v>154.597967077588</v>
      </c>
      <c r="AZ6" s="0" t="n">
        <f aca="false">$BE$6/2*(1+Inputs!$C$24)^(24-1)</f>
        <v>157.68992641914</v>
      </c>
      <c r="BA6" s="0" t="n">
        <f aca="false">$BE$6/2*(1+Inputs!$C$24)^(24-1)</f>
        <v>157.68992641914</v>
      </c>
      <c r="BB6" s="0" t="n">
        <f aca="false">$BE$6/2*(1+Inputs!$C$24)^(25-1)</f>
        <v>160.843724947523</v>
      </c>
      <c r="BC6" s="0" t="n">
        <f aca="false">$BE$6/2*(1+Inputs!$C$24)^(25-1)</f>
        <v>160.843724947523</v>
      </c>
      <c r="BE6" s="2" t="n">
        <v>200</v>
      </c>
    </row>
    <row r="7" customFormat="false" ht="15" hidden="false" customHeight="false" outlineLevel="0" collapsed="false">
      <c r="A7" s="0" t="s">
        <v>133</v>
      </c>
      <c r="B7" s="0" t="s">
        <v>39</v>
      </c>
      <c r="C7" s="0" t="n">
        <v>0</v>
      </c>
      <c r="D7" s="0" t="n">
        <v>0</v>
      </c>
      <c r="E7" s="0" t="n">
        <v>0</v>
      </c>
      <c r="F7" s="0" t="n">
        <f aca="false">$BE$7/2*(1+Inputs!$C$24)^(1-1)</f>
        <v>75</v>
      </c>
      <c r="G7" s="0" t="n">
        <f aca="false">$BE$7/2*(1+Inputs!$C$24)^(1-1)</f>
        <v>75</v>
      </c>
      <c r="H7" s="0" t="n">
        <f aca="false">$BE$7/2*(1+Inputs!$C$24)^(2-1)</f>
        <v>76.5</v>
      </c>
      <c r="I7" s="0" t="n">
        <f aca="false">$BE$7/2*(1+Inputs!$C$24)^(2-1)</f>
        <v>76.5</v>
      </c>
      <c r="J7" s="0" t="n">
        <f aca="false">$BE$7/2*(1+Inputs!$C$24)^(3-1)</f>
        <v>78.03</v>
      </c>
      <c r="K7" s="0" t="n">
        <f aca="false">$BE$7/2*(1+Inputs!$C$24)^(3-1)</f>
        <v>78.03</v>
      </c>
      <c r="L7" s="0" t="n">
        <f aca="false">$BE$7/2*(1+Inputs!$C$24)^(4-1)</f>
        <v>79.5906</v>
      </c>
      <c r="M7" s="0" t="n">
        <f aca="false">$BE$7/2*(1+Inputs!$C$24)^(4-1)</f>
        <v>79.5906</v>
      </c>
      <c r="N7" s="0" t="n">
        <f aca="false">$BE$7/2*(1+Inputs!$C$24)^(5-1)</f>
        <v>81.182412</v>
      </c>
      <c r="O7" s="0" t="n">
        <f aca="false">$BE$7/2*(1+Inputs!$C$24)^(5-1)</f>
        <v>81.182412</v>
      </c>
      <c r="P7" s="0" t="n">
        <f aca="false">$BE$7/2*(1+Inputs!$C$24)^(6-1)</f>
        <v>82.80606024</v>
      </c>
      <c r="Q7" s="0" t="n">
        <f aca="false">$BE$7/2*(1+Inputs!$C$24)^(6-1)</f>
        <v>82.80606024</v>
      </c>
      <c r="R7" s="0" t="n">
        <f aca="false">$BE$7/2*(1+Inputs!$C$24)^(7-1)</f>
        <v>84.4621814448</v>
      </c>
      <c r="S7" s="0" t="n">
        <f aca="false">$BE$7/2*(1+Inputs!$C$24)^(7-1)</f>
        <v>84.4621814448</v>
      </c>
      <c r="T7" s="0" t="n">
        <f aca="false">$BE$7/2*(1+Inputs!$C$24)^(8-1)</f>
        <v>86.151425073696</v>
      </c>
      <c r="U7" s="0" t="n">
        <f aca="false">$BE$7/2*(1+Inputs!$C$24)^(8-1)</f>
        <v>86.151425073696</v>
      </c>
      <c r="V7" s="0" t="n">
        <f aca="false">$BE$7/2*(1+Inputs!$C$24)^(9-1)</f>
        <v>87.8744535751699</v>
      </c>
      <c r="W7" s="0" t="n">
        <f aca="false">$BE$7/2*(1+Inputs!$C$24)^(9-1)</f>
        <v>87.8744535751699</v>
      </c>
      <c r="X7" s="0" t="n">
        <f aca="false">$BE$7/2*(1+Inputs!$C$24)^(10-1)</f>
        <v>89.6319426466733</v>
      </c>
      <c r="Y7" s="0" t="n">
        <f aca="false">$BE$7/2*(1+Inputs!$C$24)^(10-1)</f>
        <v>89.6319426466733</v>
      </c>
      <c r="Z7" s="0" t="n">
        <f aca="false">$BE$7/2*(1+Inputs!$C$24)^(11-1)</f>
        <v>91.4245814996068</v>
      </c>
      <c r="AA7" s="0" t="n">
        <f aca="false">$BE$7/2*(1+Inputs!$C$24)^(11-1)</f>
        <v>91.4245814996068</v>
      </c>
      <c r="AB7" s="0" t="n">
        <f aca="false">$BE$7/2*(1+Inputs!$C$24)^(12-1)</f>
        <v>93.2530731295989</v>
      </c>
      <c r="AC7" s="0" t="n">
        <f aca="false">$BE$7/2*(1+Inputs!$C$24)^(12-1)</f>
        <v>93.2530731295989</v>
      </c>
      <c r="AD7" s="0" t="n">
        <f aca="false">$BE$7/2*(1+Inputs!$C$24)^(13-1)</f>
        <v>95.1181345921909</v>
      </c>
      <c r="AE7" s="0" t="n">
        <f aca="false">$BE$7/2*(1+Inputs!$C$24)^(13-1)</f>
        <v>95.1181345921909</v>
      </c>
      <c r="AF7" s="0" t="n">
        <f aca="false">$BE$7/2*(1+Inputs!$C$24)^(14-1)</f>
        <v>97.0204972840348</v>
      </c>
      <c r="AG7" s="0" t="n">
        <f aca="false">$BE$7/2*(1+Inputs!$C$24)^(14-1)</f>
        <v>97.0204972840348</v>
      </c>
      <c r="AH7" s="0" t="n">
        <f aca="false">$BE$7/2*(1+Inputs!$C$24)^(15-1)</f>
        <v>98.9609072297154</v>
      </c>
      <c r="AI7" s="0" t="n">
        <f aca="false">$BE$7/2*(1+Inputs!$C$24)^(15-1)</f>
        <v>98.9609072297154</v>
      </c>
      <c r="AJ7" s="0" t="n">
        <f aca="false">$BE$7/2*(1+Inputs!$C$24)^(16-1)</f>
        <v>100.94012537431</v>
      </c>
      <c r="AK7" s="0" t="n">
        <f aca="false">$BE$7/2*(1+Inputs!$C$24)^(16-1)</f>
        <v>100.94012537431</v>
      </c>
      <c r="AL7" s="0" t="n">
        <f aca="false">$BE$7/2*(1+Inputs!$C$24)^(17-1)</f>
        <v>102.958927881796</v>
      </c>
      <c r="AM7" s="0" t="n">
        <f aca="false">$BE$7/2*(1+Inputs!$C$24)^(17-1)</f>
        <v>102.958927881796</v>
      </c>
      <c r="AN7" s="0" t="n">
        <f aca="false">$BE$7/2*(1+Inputs!$C$24)^(18-1)</f>
        <v>105.018106439432</v>
      </c>
      <c r="AO7" s="0" t="n">
        <f aca="false">$BE$7/2*(1+Inputs!$C$24)^(18-1)</f>
        <v>105.018106439432</v>
      </c>
      <c r="AP7" s="0" t="n">
        <f aca="false">$BE$7/2*(1+Inputs!$C$24)^(19-1)</f>
        <v>107.118468568221</v>
      </c>
      <c r="AQ7" s="0" t="n">
        <f aca="false">$BE$7/2*(1+Inputs!$C$24)^(19-1)</f>
        <v>107.118468568221</v>
      </c>
      <c r="AR7" s="0" t="n">
        <f aca="false">$BE$7/2*(1+Inputs!$C$24)^(20-1)</f>
        <v>109.260837939585</v>
      </c>
      <c r="AS7" s="0" t="n">
        <f aca="false">$BE$7/2*(1+Inputs!$C$24)^(20-1)</f>
        <v>109.260837939585</v>
      </c>
      <c r="AT7" s="0" t="n">
        <f aca="false">$BE$7/2*(1+Inputs!$C$24)^(21-1)</f>
        <v>111.446054698377</v>
      </c>
      <c r="AU7" s="0" t="n">
        <f aca="false">$BE$7/2*(1+Inputs!$C$24)^(21-1)</f>
        <v>111.446054698377</v>
      </c>
      <c r="AV7" s="0" t="n">
        <f aca="false">$BE$7/2*(1+Inputs!$C$24)^(22-1)</f>
        <v>113.674975792344</v>
      </c>
      <c r="AW7" s="0" t="n">
        <f aca="false">$BE$7/2*(1+Inputs!$C$24)^(22-1)</f>
        <v>113.674975792344</v>
      </c>
      <c r="AX7" s="0" t="n">
        <f aca="false">$BE$7/2*(1+Inputs!$C$24)^(23-1)</f>
        <v>115.948475308191</v>
      </c>
      <c r="AY7" s="0" t="n">
        <f aca="false">$BE$7/2*(1+Inputs!$C$24)^(23-1)</f>
        <v>115.948475308191</v>
      </c>
      <c r="AZ7" s="0" t="n">
        <f aca="false">$BE$7/2*(1+Inputs!$C$24)^(24-1)</f>
        <v>118.267444814355</v>
      </c>
      <c r="BA7" s="0" t="n">
        <f aca="false">$BE$7/2*(1+Inputs!$C$24)^(24-1)</f>
        <v>118.267444814355</v>
      </c>
      <c r="BB7" s="0" t="n">
        <f aca="false">$BE$7/2*(1+Inputs!$C$24)^(25-1)</f>
        <v>120.632793710642</v>
      </c>
      <c r="BC7" s="0" t="n">
        <f aca="false">$BE$7/2*(1+Inputs!$C$24)^(25-1)</f>
        <v>120.632793710642</v>
      </c>
      <c r="BE7" s="2" t="n">
        <v>150</v>
      </c>
    </row>
    <row r="8" customFormat="false" ht="15" hidden="false" customHeight="false" outlineLevel="0" collapsed="false">
      <c r="A8" s="0" t="s">
        <v>134</v>
      </c>
      <c r="B8" s="0" t="s">
        <v>39</v>
      </c>
      <c r="C8" s="0" t="n">
        <v>0</v>
      </c>
      <c r="D8" s="0" t="n">
        <v>0</v>
      </c>
      <c r="E8" s="0" t="n">
        <v>0</v>
      </c>
      <c r="F8" s="0" t="n">
        <f aca="false">$BE$8/2*(1+Inputs!$C$24)^(1-1)</f>
        <v>60</v>
      </c>
      <c r="G8" s="0" t="n">
        <f aca="false">$BE$8/2*(1+Inputs!$C$24)^(1-1)</f>
        <v>60</v>
      </c>
      <c r="H8" s="0" t="n">
        <f aca="false">$BE$8/2*(1+Inputs!$C$24)^(2-1)</f>
        <v>61.2</v>
      </c>
      <c r="I8" s="0" t="n">
        <f aca="false">$BE$8/2*(1+Inputs!$C$24)^(2-1)</f>
        <v>61.2</v>
      </c>
      <c r="J8" s="0" t="n">
        <f aca="false">$BE$8/2*(1+Inputs!$C$24)^(3-1)</f>
        <v>62.424</v>
      </c>
      <c r="K8" s="0" t="n">
        <f aca="false">$BE$8/2*(1+Inputs!$C$24)^(3-1)</f>
        <v>62.424</v>
      </c>
      <c r="L8" s="0" t="n">
        <f aca="false">$BE$8/2*(1+Inputs!$C$24)^(4-1)</f>
        <v>63.67248</v>
      </c>
      <c r="M8" s="0" t="n">
        <f aca="false">$BE$8/2*(1+Inputs!$C$24)^(4-1)</f>
        <v>63.67248</v>
      </c>
      <c r="N8" s="0" t="n">
        <f aca="false">$BE$8/2*(1+Inputs!$C$24)^(5-1)</f>
        <v>64.9459296</v>
      </c>
      <c r="O8" s="0" t="n">
        <f aca="false">$BE$8/2*(1+Inputs!$C$24)^(5-1)</f>
        <v>64.9459296</v>
      </c>
      <c r="P8" s="0" t="n">
        <f aca="false">$BE$8/2*(1+Inputs!$C$24)^(6-1)</f>
        <v>66.244848192</v>
      </c>
      <c r="Q8" s="0" t="n">
        <f aca="false">$BE$8/2*(1+Inputs!$C$24)^(6-1)</f>
        <v>66.244848192</v>
      </c>
      <c r="R8" s="0" t="n">
        <f aca="false">$BE$8/2*(1+Inputs!$C$24)^(7-1)</f>
        <v>67.56974515584</v>
      </c>
      <c r="S8" s="0" t="n">
        <f aca="false">$BE$8/2*(1+Inputs!$C$24)^(7-1)</f>
        <v>67.56974515584</v>
      </c>
      <c r="T8" s="0" t="n">
        <f aca="false">$BE$8/2*(1+Inputs!$C$24)^(8-1)</f>
        <v>68.9211400589568</v>
      </c>
      <c r="U8" s="0" t="n">
        <f aca="false">$BE$8/2*(1+Inputs!$C$24)^(8-1)</f>
        <v>68.9211400589568</v>
      </c>
      <c r="V8" s="0" t="n">
        <f aca="false">$BE$8/2*(1+Inputs!$C$24)^(9-1)</f>
        <v>70.299562860136</v>
      </c>
      <c r="W8" s="0" t="n">
        <f aca="false">$BE$8/2*(1+Inputs!$C$24)^(9-1)</f>
        <v>70.299562860136</v>
      </c>
      <c r="X8" s="0" t="n">
        <f aca="false">$BE$8/2*(1+Inputs!$C$24)^(10-1)</f>
        <v>71.7055541173387</v>
      </c>
      <c r="Y8" s="0" t="n">
        <f aca="false">$BE$8/2*(1+Inputs!$C$24)^(10-1)</f>
        <v>71.7055541173387</v>
      </c>
      <c r="Z8" s="0" t="n">
        <f aca="false">$BE$8/2*(1+Inputs!$C$24)^(11-1)</f>
        <v>73.1396651996854</v>
      </c>
      <c r="AA8" s="0" t="n">
        <f aca="false">$BE$8/2*(1+Inputs!$C$24)^(11-1)</f>
        <v>73.1396651996854</v>
      </c>
      <c r="AB8" s="0" t="n">
        <f aca="false">$BE$8/2*(1+Inputs!$C$24)^(12-1)</f>
        <v>74.6024585036791</v>
      </c>
      <c r="AC8" s="0" t="n">
        <f aca="false">$BE$8/2*(1+Inputs!$C$24)^(12-1)</f>
        <v>74.6024585036791</v>
      </c>
      <c r="AD8" s="0" t="n">
        <f aca="false">$BE$8/2*(1+Inputs!$C$24)^(13-1)</f>
        <v>76.0945076737527</v>
      </c>
      <c r="AE8" s="0" t="n">
        <f aca="false">$BE$8/2*(1+Inputs!$C$24)^(13-1)</f>
        <v>76.0945076737527</v>
      </c>
      <c r="AF8" s="0" t="n">
        <f aca="false">$BE$8/2*(1+Inputs!$C$24)^(14-1)</f>
        <v>77.6163978272278</v>
      </c>
      <c r="AG8" s="0" t="n">
        <f aca="false">$BE$8/2*(1+Inputs!$C$24)^(14-1)</f>
        <v>77.6163978272278</v>
      </c>
      <c r="AH8" s="0" t="n">
        <f aca="false">$BE$8/2*(1+Inputs!$C$24)^(15-1)</f>
        <v>79.1687257837724</v>
      </c>
      <c r="AI8" s="0" t="n">
        <f aca="false">$BE$8/2*(1+Inputs!$C$24)^(15-1)</f>
        <v>79.1687257837724</v>
      </c>
      <c r="AJ8" s="0" t="n">
        <f aca="false">$BE$8/2*(1+Inputs!$C$24)^(16-1)</f>
        <v>80.7521002994478</v>
      </c>
      <c r="AK8" s="0" t="n">
        <f aca="false">$BE$8/2*(1+Inputs!$C$24)^(16-1)</f>
        <v>80.7521002994478</v>
      </c>
      <c r="AL8" s="0" t="n">
        <f aca="false">$BE$8/2*(1+Inputs!$C$24)^(17-1)</f>
        <v>82.3671423054367</v>
      </c>
      <c r="AM8" s="0" t="n">
        <f aca="false">$BE$8/2*(1+Inputs!$C$24)^(17-1)</f>
        <v>82.3671423054367</v>
      </c>
      <c r="AN8" s="0" t="n">
        <f aca="false">$BE$8/2*(1+Inputs!$C$24)^(18-1)</f>
        <v>84.0144851515455</v>
      </c>
      <c r="AO8" s="0" t="n">
        <f aca="false">$BE$8/2*(1+Inputs!$C$24)^(18-1)</f>
        <v>84.0144851515455</v>
      </c>
      <c r="AP8" s="0" t="n">
        <f aca="false">$BE$8/2*(1+Inputs!$C$24)^(19-1)</f>
        <v>85.6947748545764</v>
      </c>
      <c r="AQ8" s="0" t="n">
        <f aca="false">$BE$8/2*(1+Inputs!$C$24)^(19-1)</f>
        <v>85.6947748545764</v>
      </c>
      <c r="AR8" s="0" t="n">
        <f aca="false">$BE$8/2*(1+Inputs!$C$24)^(20-1)</f>
        <v>87.4086703516679</v>
      </c>
      <c r="AS8" s="0" t="n">
        <f aca="false">$BE$8/2*(1+Inputs!$C$24)^(20-1)</f>
        <v>87.4086703516679</v>
      </c>
      <c r="AT8" s="0" t="n">
        <f aca="false">$BE$8/2*(1+Inputs!$C$24)^(21-1)</f>
        <v>89.1568437587013</v>
      </c>
      <c r="AU8" s="0" t="n">
        <f aca="false">$BE$8/2*(1+Inputs!$C$24)^(21-1)</f>
        <v>89.1568437587013</v>
      </c>
      <c r="AV8" s="0" t="n">
        <f aca="false">$BE$8/2*(1+Inputs!$C$24)^(22-1)</f>
        <v>90.9399806338753</v>
      </c>
      <c r="AW8" s="0" t="n">
        <f aca="false">$BE$8/2*(1+Inputs!$C$24)^(22-1)</f>
        <v>90.9399806338753</v>
      </c>
      <c r="AX8" s="0" t="n">
        <f aca="false">$BE$8/2*(1+Inputs!$C$24)^(23-1)</f>
        <v>92.7587802465528</v>
      </c>
      <c r="AY8" s="0" t="n">
        <f aca="false">$BE$8/2*(1+Inputs!$C$24)^(23-1)</f>
        <v>92.7587802465528</v>
      </c>
      <c r="AZ8" s="0" t="n">
        <f aca="false">$BE$8/2*(1+Inputs!$C$24)^(24-1)</f>
        <v>94.6139558514839</v>
      </c>
      <c r="BA8" s="0" t="n">
        <f aca="false">$BE$8/2*(1+Inputs!$C$24)^(24-1)</f>
        <v>94.6139558514839</v>
      </c>
      <c r="BB8" s="0" t="n">
        <f aca="false">$BE$8/2*(1+Inputs!$C$24)^(25-1)</f>
        <v>96.5062349685136</v>
      </c>
      <c r="BC8" s="0" t="n">
        <f aca="false">$BE$8/2*(1+Inputs!$C$24)^(25-1)</f>
        <v>96.5062349685136</v>
      </c>
      <c r="BE8" s="2" t="n">
        <v>120</v>
      </c>
    </row>
    <row r="9" customFormat="false" ht="15" hidden="false" customHeight="false" outlineLevel="0" collapsed="false">
      <c r="A9" s="0" t="s">
        <v>135</v>
      </c>
      <c r="B9" s="0" t="s">
        <v>39</v>
      </c>
      <c r="C9" s="0" t="n">
        <v>0</v>
      </c>
      <c r="D9" s="0" t="n">
        <v>0</v>
      </c>
      <c r="E9" s="0" t="n">
        <v>0</v>
      </c>
      <c r="F9" s="0" t="n">
        <f aca="false">$BE$9/2*(1+Inputs!$C$24)^(1-1)</f>
        <v>40</v>
      </c>
      <c r="G9" s="0" t="n">
        <f aca="false">$BE$9/2*(1+Inputs!$C$24)^(1-1)</f>
        <v>40</v>
      </c>
      <c r="H9" s="0" t="n">
        <f aca="false">$BE$9/2*(1+Inputs!$C$24)^(2-1)</f>
        <v>40.8</v>
      </c>
      <c r="I9" s="0" t="n">
        <f aca="false">$BE$9/2*(1+Inputs!$C$24)^(2-1)</f>
        <v>40.8</v>
      </c>
      <c r="J9" s="0" t="n">
        <f aca="false">$BE$9/2*(1+Inputs!$C$24)^(3-1)</f>
        <v>41.616</v>
      </c>
      <c r="K9" s="0" t="n">
        <f aca="false">$BE$9/2*(1+Inputs!$C$24)^(3-1)</f>
        <v>41.616</v>
      </c>
      <c r="L9" s="0" t="n">
        <f aca="false">$BE$9/2*(1+Inputs!$C$24)^(4-1)</f>
        <v>42.44832</v>
      </c>
      <c r="M9" s="0" t="n">
        <f aca="false">$BE$9/2*(1+Inputs!$C$24)^(4-1)</f>
        <v>42.44832</v>
      </c>
      <c r="N9" s="0" t="n">
        <f aca="false">$BE$9/2*(1+Inputs!$C$24)^(5-1)</f>
        <v>43.2972864</v>
      </c>
      <c r="O9" s="0" t="n">
        <f aca="false">$BE$9/2*(1+Inputs!$C$24)^(5-1)</f>
        <v>43.2972864</v>
      </c>
      <c r="P9" s="0" t="n">
        <f aca="false">$BE$9/2*(1+Inputs!$C$24)^(6-1)</f>
        <v>44.163232128</v>
      </c>
      <c r="Q9" s="0" t="n">
        <f aca="false">$BE$9/2*(1+Inputs!$C$24)^(6-1)</f>
        <v>44.163232128</v>
      </c>
      <c r="R9" s="0" t="n">
        <f aca="false">$BE$9/2*(1+Inputs!$C$24)^(7-1)</f>
        <v>45.04649677056</v>
      </c>
      <c r="S9" s="0" t="n">
        <f aca="false">$BE$9/2*(1+Inputs!$C$24)^(7-1)</f>
        <v>45.04649677056</v>
      </c>
      <c r="T9" s="0" t="n">
        <f aca="false">$BE$9/2*(1+Inputs!$C$24)^(8-1)</f>
        <v>45.9474267059712</v>
      </c>
      <c r="U9" s="0" t="n">
        <f aca="false">$BE$9/2*(1+Inputs!$C$24)^(8-1)</f>
        <v>45.9474267059712</v>
      </c>
      <c r="V9" s="0" t="n">
        <f aca="false">$BE$9/2*(1+Inputs!$C$24)^(9-1)</f>
        <v>46.8663752400906</v>
      </c>
      <c r="W9" s="0" t="n">
        <f aca="false">$BE$9/2*(1+Inputs!$C$24)^(9-1)</f>
        <v>46.8663752400906</v>
      </c>
      <c r="X9" s="0" t="n">
        <f aca="false">$BE$9/2*(1+Inputs!$C$24)^(10-1)</f>
        <v>47.8037027448924</v>
      </c>
      <c r="Y9" s="0" t="n">
        <f aca="false">$BE$9/2*(1+Inputs!$C$24)^(10-1)</f>
        <v>47.8037027448924</v>
      </c>
      <c r="Z9" s="0" t="n">
        <f aca="false">$BE$9/2*(1+Inputs!$C$24)^(11-1)</f>
        <v>48.7597767997903</v>
      </c>
      <c r="AA9" s="0" t="n">
        <f aca="false">$BE$9/2*(1+Inputs!$C$24)^(11-1)</f>
        <v>48.7597767997903</v>
      </c>
      <c r="AB9" s="0" t="n">
        <f aca="false">$BE$9/2*(1+Inputs!$C$24)^(12-1)</f>
        <v>49.7349723357861</v>
      </c>
      <c r="AC9" s="0" t="n">
        <f aca="false">$BE$9/2*(1+Inputs!$C$24)^(12-1)</f>
        <v>49.7349723357861</v>
      </c>
      <c r="AD9" s="0" t="n">
        <f aca="false">$BE$9/2*(1+Inputs!$C$24)^(13-1)</f>
        <v>50.7296717825018</v>
      </c>
      <c r="AE9" s="0" t="n">
        <f aca="false">$BE$9/2*(1+Inputs!$C$24)^(13-1)</f>
        <v>50.7296717825018</v>
      </c>
      <c r="AF9" s="0" t="n">
        <f aca="false">$BE$9/2*(1+Inputs!$C$24)^(14-1)</f>
        <v>51.7442652181519</v>
      </c>
      <c r="AG9" s="0" t="n">
        <f aca="false">$BE$9/2*(1+Inputs!$C$24)^(14-1)</f>
        <v>51.7442652181519</v>
      </c>
      <c r="AH9" s="0" t="n">
        <f aca="false">$BE$9/2*(1+Inputs!$C$24)^(15-1)</f>
        <v>52.7791505225149</v>
      </c>
      <c r="AI9" s="0" t="n">
        <f aca="false">$BE$9/2*(1+Inputs!$C$24)^(15-1)</f>
        <v>52.7791505225149</v>
      </c>
      <c r="AJ9" s="0" t="n">
        <f aca="false">$BE$9/2*(1+Inputs!$C$24)^(16-1)</f>
        <v>53.8347335329652</v>
      </c>
      <c r="AK9" s="0" t="n">
        <f aca="false">$BE$9/2*(1+Inputs!$C$24)^(16-1)</f>
        <v>53.8347335329652</v>
      </c>
      <c r="AL9" s="0" t="n">
        <f aca="false">$BE$9/2*(1+Inputs!$C$24)^(17-1)</f>
        <v>54.9114282036245</v>
      </c>
      <c r="AM9" s="0" t="n">
        <f aca="false">$BE$9/2*(1+Inputs!$C$24)^(17-1)</f>
        <v>54.9114282036245</v>
      </c>
      <c r="AN9" s="0" t="n">
        <f aca="false">$BE$9/2*(1+Inputs!$C$24)^(18-1)</f>
        <v>56.009656767697</v>
      </c>
      <c r="AO9" s="0" t="n">
        <f aca="false">$BE$9/2*(1+Inputs!$C$24)^(18-1)</f>
        <v>56.009656767697</v>
      </c>
      <c r="AP9" s="0" t="n">
        <f aca="false">$BE$9/2*(1+Inputs!$C$24)^(19-1)</f>
        <v>57.1298499030509</v>
      </c>
      <c r="AQ9" s="0" t="n">
        <f aca="false">$BE$9/2*(1+Inputs!$C$24)^(19-1)</f>
        <v>57.1298499030509</v>
      </c>
      <c r="AR9" s="0" t="n">
        <f aca="false">$BE$9/2*(1+Inputs!$C$24)^(20-1)</f>
        <v>58.272446901112</v>
      </c>
      <c r="AS9" s="0" t="n">
        <f aca="false">$BE$9/2*(1+Inputs!$C$24)^(20-1)</f>
        <v>58.272446901112</v>
      </c>
      <c r="AT9" s="0" t="n">
        <f aca="false">$BE$9/2*(1+Inputs!$C$24)^(21-1)</f>
        <v>59.4378958391342</v>
      </c>
      <c r="AU9" s="0" t="n">
        <f aca="false">$BE$9/2*(1+Inputs!$C$24)^(21-1)</f>
        <v>59.4378958391342</v>
      </c>
      <c r="AV9" s="0" t="n">
        <f aca="false">$BE$9/2*(1+Inputs!$C$24)^(22-1)</f>
        <v>60.6266537559169</v>
      </c>
      <c r="AW9" s="0" t="n">
        <f aca="false">$BE$9/2*(1+Inputs!$C$24)^(22-1)</f>
        <v>60.6266537559169</v>
      </c>
      <c r="AX9" s="0" t="n">
        <f aca="false">$BE$9/2*(1+Inputs!$C$24)^(23-1)</f>
        <v>61.8391868310352</v>
      </c>
      <c r="AY9" s="0" t="n">
        <f aca="false">$BE$9/2*(1+Inputs!$C$24)^(23-1)</f>
        <v>61.8391868310352</v>
      </c>
      <c r="AZ9" s="0" t="n">
        <f aca="false">$BE$9/2*(1+Inputs!$C$24)^(24-1)</f>
        <v>63.0759705676559</v>
      </c>
      <c r="BA9" s="0" t="n">
        <f aca="false">$BE$9/2*(1+Inputs!$C$24)^(24-1)</f>
        <v>63.0759705676559</v>
      </c>
      <c r="BB9" s="0" t="n">
        <f aca="false">$BE$9/2*(1+Inputs!$C$24)^(25-1)</f>
        <v>64.3374899790091</v>
      </c>
      <c r="BC9" s="0" t="n">
        <f aca="false">$BE$9/2*(1+Inputs!$C$24)^(25-1)</f>
        <v>64.3374899790091</v>
      </c>
      <c r="BE9" s="2" t="n">
        <v>80</v>
      </c>
    </row>
    <row r="10" customFormat="false" ht="15" hidden="false" customHeight="false" outlineLevel="0" collapsed="false">
      <c r="A10" s="1" t="s">
        <v>136</v>
      </c>
      <c r="C10" s="1" t="n">
        <f aca="false">SUM(C6:C9)</f>
        <v>0</v>
      </c>
      <c r="D10" s="1" t="n">
        <f aca="false">SUM(D6:D9)</f>
        <v>0</v>
      </c>
      <c r="E10" s="1" t="n">
        <f aca="false">SUM(E6:E9)</f>
        <v>0</v>
      </c>
      <c r="F10" s="1" t="n">
        <f aca="false">SUM(F6:F9)</f>
        <v>275</v>
      </c>
      <c r="G10" s="1" t="n">
        <f aca="false">SUM(G6:G9)</f>
        <v>275</v>
      </c>
      <c r="H10" s="1" t="n">
        <f aca="false">SUM(H6:H9)</f>
        <v>280.5</v>
      </c>
      <c r="I10" s="1" t="n">
        <f aca="false">SUM(I6:I9)</f>
        <v>280.5</v>
      </c>
      <c r="J10" s="1" t="n">
        <f aca="false">SUM(J6:J9)</f>
        <v>286.11</v>
      </c>
      <c r="K10" s="1" t="n">
        <f aca="false">SUM(K6:K9)</f>
        <v>286.11</v>
      </c>
      <c r="L10" s="1" t="n">
        <f aca="false">SUM(L6:L9)</f>
        <v>291.8322</v>
      </c>
      <c r="M10" s="1" t="n">
        <f aca="false">SUM(M6:M9)</f>
        <v>291.8322</v>
      </c>
      <c r="N10" s="1" t="n">
        <f aca="false">SUM(N6:N9)</f>
        <v>297.668844</v>
      </c>
      <c r="O10" s="1" t="n">
        <f aca="false">SUM(O6:O9)</f>
        <v>297.668844</v>
      </c>
      <c r="P10" s="1" t="n">
        <f aca="false">SUM(P6:P9)</f>
        <v>303.62222088</v>
      </c>
      <c r="Q10" s="1" t="n">
        <f aca="false">SUM(Q6:Q9)</f>
        <v>303.62222088</v>
      </c>
      <c r="R10" s="1" t="n">
        <f aca="false">SUM(R6:R9)</f>
        <v>309.6946652976</v>
      </c>
      <c r="S10" s="1" t="n">
        <f aca="false">SUM(S6:S9)</f>
        <v>309.6946652976</v>
      </c>
      <c r="T10" s="1" t="n">
        <f aca="false">SUM(T6:T9)</f>
        <v>315.888558603552</v>
      </c>
      <c r="U10" s="1" t="n">
        <f aca="false">SUM(U6:U9)</f>
        <v>315.888558603552</v>
      </c>
      <c r="V10" s="1" t="n">
        <f aca="false">SUM(V6:V9)</f>
        <v>322.206329775623</v>
      </c>
      <c r="W10" s="1" t="n">
        <f aca="false">SUM(W6:W9)</f>
        <v>322.206329775623</v>
      </c>
      <c r="X10" s="1" t="n">
        <f aca="false">SUM(X6:X9)</f>
        <v>328.650456371136</v>
      </c>
      <c r="Y10" s="1" t="n">
        <f aca="false">SUM(Y6:Y9)</f>
        <v>328.650456371136</v>
      </c>
      <c r="Z10" s="1" t="n">
        <f aca="false">SUM(Z6:Z9)</f>
        <v>335.223465498558</v>
      </c>
      <c r="AA10" s="1" t="n">
        <f aca="false">SUM(AA6:AA9)</f>
        <v>335.223465498558</v>
      </c>
      <c r="AB10" s="1" t="n">
        <f aca="false">SUM(AB6:AB9)</f>
        <v>341.927934808529</v>
      </c>
      <c r="AC10" s="1" t="n">
        <f aca="false">SUM(AC6:AC9)</f>
        <v>341.927934808529</v>
      </c>
      <c r="AD10" s="1" t="n">
        <f aca="false">SUM(AD6:AD9)</f>
        <v>348.7664935047</v>
      </c>
      <c r="AE10" s="1" t="n">
        <f aca="false">SUM(AE6:AE9)</f>
        <v>348.7664935047</v>
      </c>
      <c r="AF10" s="1" t="n">
        <f aca="false">SUM(AF6:AF9)</f>
        <v>355.741823374794</v>
      </c>
      <c r="AG10" s="1" t="n">
        <f aca="false">SUM(AG6:AG9)</f>
        <v>355.741823374794</v>
      </c>
      <c r="AH10" s="1" t="n">
        <f aca="false">SUM(AH6:AH9)</f>
        <v>362.85665984229</v>
      </c>
      <c r="AI10" s="1" t="n">
        <f aca="false">SUM(AI6:AI9)</f>
        <v>362.85665984229</v>
      </c>
      <c r="AJ10" s="1" t="n">
        <f aca="false">SUM(AJ6:AJ9)</f>
        <v>370.113793039136</v>
      </c>
      <c r="AK10" s="1" t="n">
        <f aca="false">SUM(AK6:AK9)</f>
        <v>370.113793039136</v>
      </c>
      <c r="AL10" s="1" t="n">
        <f aca="false">SUM(AL6:AL9)</f>
        <v>377.516068899918</v>
      </c>
      <c r="AM10" s="1" t="n">
        <f aca="false">SUM(AM6:AM9)</f>
        <v>377.516068899918</v>
      </c>
      <c r="AN10" s="1" t="n">
        <f aca="false">SUM(AN6:AN9)</f>
        <v>385.066390277917</v>
      </c>
      <c r="AO10" s="1" t="n">
        <f aca="false">SUM(AO6:AO9)</f>
        <v>385.066390277917</v>
      </c>
      <c r="AP10" s="1" t="n">
        <f aca="false">SUM(AP6:AP9)</f>
        <v>392.767718083475</v>
      </c>
      <c r="AQ10" s="1" t="n">
        <f aca="false">SUM(AQ6:AQ9)</f>
        <v>392.767718083475</v>
      </c>
      <c r="AR10" s="1" t="n">
        <f aca="false">SUM(AR6:AR9)</f>
        <v>400.623072445145</v>
      </c>
      <c r="AS10" s="1" t="n">
        <f aca="false">SUM(AS6:AS9)</f>
        <v>400.623072445145</v>
      </c>
      <c r="AT10" s="1" t="n">
        <f aca="false">SUM(AT6:AT9)</f>
        <v>408.635533894048</v>
      </c>
      <c r="AU10" s="1" t="n">
        <f aca="false">SUM(AU6:AU9)</f>
        <v>408.635533894048</v>
      </c>
      <c r="AV10" s="1" t="n">
        <f aca="false">SUM(AV6:AV9)</f>
        <v>416.808244571929</v>
      </c>
      <c r="AW10" s="1" t="n">
        <f aca="false">SUM(AW6:AW9)</f>
        <v>416.808244571929</v>
      </c>
      <c r="AX10" s="1" t="n">
        <f aca="false">SUM(AX6:AX9)</f>
        <v>425.144409463367</v>
      </c>
      <c r="AY10" s="1" t="n">
        <f aca="false">SUM(AY6:AY9)</f>
        <v>425.144409463367</v>
      </c>
      <c r="AZ10" s="1" t="n">
        <f aca="false">SUM(AZ6:AZ9)</f>
        <v>433.647297652635</v>
      </c>
      <c r="BA10" s="1" t="n">
        <f aca="false">SUM(BA6:BA9)</f>
        <v>433.647297652635</v>
      </c>
      <c r="BB10" s="1" t="n">
        <f aca="false">SUM(BB6:BB9)</f>
        <v>442.320243605687</v>
      </c>
      <c r="BC10" s="1" t="n">
        <f aca="false">SUM(BC6:BC9)</f>
        <v>442.320243605687</v>
      </c>
    </row>
    <row r="12" customFormat="false" ht="15" hidden="false" customHeight="false" outlineLevel="0" collapsed="false">
      <c r="A12" s="1" t="s">
        <v>137</v>
      </c>
      <c r="C12" s="1" t="n">
        <f aca="false">SUM(C10:BC10)</f>
        <v>17616.6648477801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138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  <c r="BC3" s="1" t="s">
        <v>109</v>
      </c>
    </row>
    <row r="4" customFormat="false" ht="15" hidden="false" customHeight="false" outlineLevel="0" collapsed="false">
      <c r="A4" s="0" t="s">
        <v>129</v>
      </c>
      <c r="C4" s="0" t="s">
        <v>130</v>
      </c>
      <c r="D4" s="0" t="s">
        <v>130</v>
      </c>
      <c r="E4" s="0" t="s">
        <v>130</v>
      </c>
      <c r="F4" s="0" t="n">
        <v>1</v>
      </c>
      <c r="G4" s="0" t="n">
        <v>1</v>
      </c>
      <c r="H4" s="0" t="n">
        <v>2</v>
      </c>
      <c r="I4" s="0" t="n">
        <v>2</v>
      </c>
      <c r="J4" s="0" t="n">
        <v>3</v>
      </c>
      <c r="K4" s="0" t="n">
        <v>3</v>
      </c>
      <c r="L4" s="0" t="n">
        <v>4</v>
      </c>
      <c r="M4" s="0" t="n">
        <v>4</v>
      </c>
      <c r="N4" s="0" t="n">
        <v>5</v>
      </c>
      <c r="O4" s="0" t="n">
        <v>5</v>
      </c>
      <c r="P4" s="0" t="n">
        <v>6</v>
      </c>
      <c r="Q4" s="0" t="n">
        <v>6</v>
      </c>
      <c r="R4" s="0" t="n">
        <v>7</v>
      </c>
      <c r="S4" s="0" t="n">
        <v>7</v>
      </c>
      <c r="T4" s="0" t="n">
        <v>8</v>
      </c>
      <c r="U4" s="0" t="n">
        <v>8</v>
      </c>
      <c r="V4" s="0" t="n">
        <v>9</v>
      </c>
      <c r="W4" s="0" t="n">
        <v>9</v>
      </c>
      <c r="X4" s="0" t="n">
        <v>10</v>
      </c>
      <c r="Y4" s="0" t="n">
        <v>10</v>
      </c>
      <c r="Z4" s="0" t="n">
        <v>11</v>
      </c>
      <c r="AA4" s="0" t="n">
        <v>11</v>
      </c>
      <c r="AB4" s="0" t="n">
        <v>12</v>
      </c>
      <c r="AC4" s="0" t="n">
        <v>12</v>
      </c>
      <c r="AD4" s="0" t="n">
        <v>13</v>
      </c>
      <c r="AE4" s="0" t="n">
        <v>13</v>
      </c>
      <c r="AF4" s="0" t="n">
        <v>14</v>
      </c>
      <c r="AG4" s="0" t="n">
        <v>14</v>
      </c>
      <c r="AH4" s="0" t="n">
        <v>15</v>
      </c>
      <c r="AI4" s="0" t="n">
        <v>15</v>
      </c>
      <c r="AJ4" s="0" t="n">
        <v>16</v>
      </c>
      <c r="AK4" s="0" t="n">
        <v>16</v>
      </c>
      <c r="AL4" s="0" t="n">
        <v>17</v>
      </c>
      <c r="AM4" s="0" t="n">
        <v>17</v>
      </c>
      <c r="AN4" s="0" t="n">
        <v>18</v>
      </c>
      <c r="AO4" s="0" t="n">
        <v>18</v>
      </c>
      <c r="AP4" s="0" t="n">
        <v>19</v>
      </c>
      <c r="AQ4" s="0" t="n">
        <v>19</v>
      </c>
      <c r="AR4" s="0" t="n">
        <v>20</v>
      </c>
      <c r="AS4" s="0" t="n">
        <v>20</v>
      </c>
      <c r="AT4" s="0" t="n">
        <v>21</v>
      </c>
      <c r="AU4" s="0" t="n">
        <v>21</v>
      </c>
      <c r="AV4" s="0" t="n">
        <v>22</v>
      </c>
      <c r="AW4" s="0" t="n">
        <v>22</v>
      </c>
      <c r="AX4" s="0" t="n">
        <v>23</v>
      </c>
      <c r="AY4" s="0" t="n">
        <v>23</v>
      </c>
      <c r="AZ4" s="0" t="n">
        <v>24</v>
      </c>
      <c r="BA4" s="0" t="n">
        <v>24</v>
      </c>
      <c r="BB4" s="0" t="n">
        <v>25</v>
      </c>
      <c r="BC4" s="0" t="n">
        <v>25</v>
      </c>
    </row>
    <row r="6" customFormat="false" ht="15" hidden="false" customHeight="false" outlineLevel="0" collapsed="false">
      <c r="A6" s="0" t="s">
        <v>139</v>
      </c>
      <c r="C6" s="0" t="n">
        <v>0</v>
      </c>
      <c r="D6" s="0" t="n">
        <v>0</v>
      </c>
      <c r="E6" s="0" t="n">
        <v>0</v>
      </c>
      <c r="F6" s="0" t="n">
        <f aca="false">Inputs!$C$11*Inputs!$C$12/2*Inputs!$C$14*(1-Inputs!$C$13)^(1-1)</f>
        <v>73507.5</v>
      </c>
      <c r="G6" s="0" t="n">
        <f aca="false">Inputs!$C$11*Inputs!$C$12/2*Inputs!$C$14*(1-Inputs!$C$13)^(1-1)</f>
        <v>73507.5</v>
      </c>
      <c r="H6" s="0" t="n">
        <f aca="false">Inputs!$C$11*Inputs!$C$12/2*Inputs!$C$14*(1-Inputs!$C$13)^(2-1)</f>
        <v>73507.5</v>
      </c>
      <c r="I6" s="0" t="n">
        <f aca="false">Inputs!$C$11*Inputs!$C$12/2*Inputs!$C$14*(1-Inputs!$C$13)^(2-1)</f>
        <v>73507.5</v>
      </c>
      <c r="J6" s="0" t="n">
        <f aca="false">Inputs!$C$11*Inputs!$C$12/2*Inputs!$C$14*(1-Inputs!$C$13)^(3-1)</f>
        <v>73507.5</v>
      </c>
      <c r="K6" s="0" t="n">
        <f aca="false">Inputs!$C$11*Inputs!$C$12/2*Inputs!$C$14*(1-Inputs!$C$13)^(3-1)</f>
        <v>73507.5</v>
      </c>
      <c r="L6" s="0" t="n">
        <f aca="false">Inputs!$C$11*Inputs!$C$12/2*Inputs!$C$14*(1-Inputs!$C$13)^(4-1)</f>
        <v>73507.5</v>
      </c>
      <c r="M6" s="0" t="n">
        <f aca="false">Inputs!$C$11*Inputs!$C$12/2*Inputs!$C$14*(1-Inputs!$C$13)^(4-1)</f>
        <v>73507.5</v>
      </c>
      <c r="N6" s="0" t="n">
        <f aca="false">Inputs!$C$11*Inputs!$C$12/2*Inputs!$C$14*(1-Inputs!$C$13)^(5-1)</f>
        <v>73507.5</v>
      </c>
      <c r="O6" s="0" t="n">
        <f aca="false">Inputs!$C$11*Inputs!$C$12/2*Inputs!$C$14*(1-Inputs!$C$13)^(5-1)</f>
        <v>73507.5</v>
      </c>
      <c r="P6" s="0" t="n">
        <f aca="false">Inputs!$C$11*Inputs!$C$12/2*Inputs!$C$14*(1-Inputs!$C$13)^(6-1)</f>
        <v>73507.5</v>
      </c>
      <c r="Q6" s="0" t="n">
        <f aca="false">Inputs!$C$11*Inputs!$C$12/2*Inputs!$C$14*(1-Inputs!$C$13)^(6-1)</f>
        <v>73507.5</v>
      </c>
      <c r="R6" s="0" t="n">
        <f aca="false">Inputs!$C$11*Inputs!$C$12/2*Inputs!$C$14*(1-Inputs!$C$13)^(7-1)</f>
        <v>73507.5</v>
      </c>
      <c r="S6" s="0" t="n">
        <f aca="false">Inputs!$C$11*Inputs!$C$12/2*Inputs!$C$14*(1-Inputs!$C$13)^(7-1)</f>
        <v>73507.5</v>
      </c>
      <c r="T6" s="0" t="n">
        <f aca="false">Inputs!$C$11*Inputs!$C$12/2*Inputs!$C$14*(1-Inputs!$C$13)^(8-1)</f>
        <v>73507.5</v>
      </c>
      <c r="U6" s="0" t="n">
        <f aca="false">Inputs!$C$11*Inputs!$C$12/2*Inputs!$C$14*(1-Inputs!$C$13)^(8-1)</f>
        <v>73507.5</v>
      </c>
      <c r="V6" s="0" t="n">
        <f aca="false">Inputs!$C$11*Inputs!$C$12/2*Inputs!$C$14*(1-Inputs!$C$13)^(9-1)</f>
        <v>73507.5</v>
      </c>
      <c r="W6" s="0" t="n">
        <f aca="false">Inputs!$C$11*Inputs!$C$12/2*Inputs!$C$14*(1-Inputs!$C$13)^(9-1)</f>
        <v>73507.5</v>
      </c>
      <c r="X6" s="0" t="n">
        <f aca="false">Inputs!$C$11*Inputs!$C$12/2*Inputs!$C$14*(1-Inputs!$C$13)^(10-1)</f>
        <v>73507.5</v>
      </c>
      <c r="Y6" s="0" t="n">
        <f aca="false">Inputs!$C$11*Inputs!$C$12/2*Inputs!$C$14*(1-Inputs!$C$13)^(10-1)</f>
        <v>73507.5</v>
      </c>
      <c r="Z6" s="0" t="n">
        <f aca="false">Inputs!$C$11*Inputs!$C$12/2*Inputs!$C$14*(1-Inputs!$C$13)^(11-1)</f>
        <v>73507.5</v>
      </c>
      <c r="AA6" s="0" t="n">
        <f aca="false">Inputs!$C$11*Inputs!$C$12/2*Inputs!$C$14*(1-Inputs!$C$13)^(11-1)</f>
        <v>73507.5</v>
      </c>
      <c r="AB6" s="0" t="n">
        <f aca="false">Inputs!$C$11*Inputs!$C$12/2*Inputs!$C$14*(1-Inputs!$C$13)^(12-1)</f>
        <v>73507.5</v>
      </c>
      <c r="AC6" s="0" t="n">
        <f aca="false">Inputs!$C$11*Inputs!$C$12/2*Inputs!$C$14*(1-Inputs!$C$13)^(12-1)</f>
        <v>73507.5</v>
      </c>
      <c r="AD6" s="0" t="n">
        <f aca="false">Inputs!$C$11*Inputs!$C$12/2*Inputs!$C$14*(1-Inputs!$C$13)^(13-1)</f>
        <v>73507.5</v>
      </c>
      <c r="AE6" s="0" t="n">
        <f aca="false">Inputs!$C$11*Inputs!$C$12/2*Inputs!$C$14*(1-Inputs!$C$13)^(13-1)</f>
        <v>73507.5</v>
      </c>
      <c r="AF6" s="0" t="n">
        <f aca="false">Inputs!$C$11*Inputs!$C$12/2*Inputs!$C$14*(1-Inputs!$C$13)^(14-1)</f>
        <v>73507.5</v>
      </c>
      <c r="AG6" s="0" t="n">
        <f aca="false">Inputs!$C$11*Inputs!$C$12/2*Inputs!$C$14*(1-Inputs!$C$13)^(14-1)</f>
        <v>73507.5</v>
      </c>
      <c r="AH6" s="0" t="n">
        <f aca="false">Inputs!$C$11*Inputs!$C$12/2*Inputs!$C$14*(1-Inputs!$C$13)^(15-1)</f>
        <v>73507.5</v>
      </c>
      <c r="AI6" s="0" t="n">
        <f aca="false">Inputs!$C$11*Inputs!$C$12/2*Inputs!$C$14*(1-Inputs!$C$13)^(15-1)</f>
        <v>73507.5</v>
      </c>
      <c r="AJ6" s="0" t="n">
        <f aca="false">Inputs!$C$11*Inputs!$C$12/2*Inputs!$C$14*(1-Inputs!$C$13)^(16-1)</f>
        <v>73507.5</v>
      </c>
      <c r="AK6" s="0" t="n">
        <f aca="false">Inputs!$C$11*Inputs!$C$12/2*Inputs!$C$14*(1-Inputs!$C$13)^(16-1)</f>
        <v>73507.5</v>
      </c>
      <c r="AL6" s="0" t="n">
        <f aca="false">Inputs!$C$11*Inputs!$C$12/2*Inputs!$C$14*(1-Inputs!$C$13)^(17-1)</f>
        <v>73507.5</v>
      </c>
      <c r="AM6" s="0" t="n">
        <f aca="false">Inputs!$C$11*Inputs!$C$12/2*Inputs!$C$14*(1-Inputs!$C$13)^(17-1)</f>
        <v>73507.5</v>
      </c>
      <c r="AN6" s="0" t="n">
        <f aca="false">Inputs!$C$11*Inputs!$C$12/2*Inputs!$C$14*(1-Inputs!$C$13)^(18-1)</f>
        <v>73507.5</v>
      </c>
      <c r="AO6" s="0" t="n">
        <f aca="false">Inputs!$C$11*Inputs!$C$12/2*Inputs!$C$14*(1-Inputs!$C$13)^(18-1)</f>
        <v>73507.5</v>
      </c>
      <c r="AP6" s="0" t="n">
        <f aca="false">Inputs!$C$11*Inputs!$C$12/2*Inputs!$C$14*(1-Inputs!$C$13)^(19-1)</f>
        <v>73507.5</v>
      </c>
      <c r="AQ6" s="0" t="n">
        <f aca="false">Inputs!$C$11*Inputs!$C$12/2*Inputs!$C$14*(1-Inputs!$C$13)^(19-1)</f>
        <v>73507.5</v>
      </c>
      <c r="AR6" s="0" t="n">
        <f aca="false">Inputs!$C$11*Inputs!$C$12/2*Inputs!$C$14*(1-Inputs!$C$13)^(20-1)</f>
        <v>73507.5</v>
      </c>
      <c r="AS6" s="0" t="n">
        <f aca="false">Inputs!$C$11*Inputs!$C$12/2*Inputs!$C$14*(1-Inputs!$C$13)^(20-1)</f>
        <v>73507.5</v>
      </c>
      <c r="AT6" s="0" t="n">
        <f aca="false">Inputs!$C$11*Inputs!$C$12/2*Inputs!$C$14*(1-Inputs!$C$13)^(21-1)</f>
        <v>73507.5</v>
      </c>
      <c r="AU6" s="0" t="n">
        <f aca="false">Inputs!$C$11*Inputs!$C$12/2*Inputs!$C$14*(1-Inputs!$C$13)^(21-1)</f>
        <v>73507.5</v>
      </c>
      <c r="AV6" s="0" t="n">
        <f aca="false">Inputs!$C$11*Inputs!$C$12/2*Inputs!$C$14*(1-Inputs!$C$13)^(22-1)</f>
        <v>73507.5</v>
      </c>
      <c r="AW6" s="0" t="n">
        <f aca="false">Inputs!$C$11*Inputs!$C$12/2*Inputs!$C$14*(1-Inputs!$C$13)^(22-1)</f>
        <v>73507.5</v>
      </c>
      <c r="AX6" s="0" t="n">
        <f aca="false">Inputs!$C$11*Inputs!$C$12/2*Inputs!$C$14*(1-Inputs!$C$13)^(23-1)</f>
        <v>73507.5</v>
      </c>
      <c r="AY6" s="0" t="n">
        <f aca="false">Inputs!$C$11*Inputs!$C$12/2*Inputs!$C$14*(1-Inputs!$C$13)^(23-1)</f>
        <v>73507.5</v>
      </c>
      <c r="AZ6" s="0" t="n">
        <f aca="false">Inputs!$C$11*Inputs!$C$12/2*Inputs!$C$14*(1-Inputs!$C$13)^(24-1)</f>
        <v>73507.5</v>
      </c>
      <c r="BA6" s="0" t="n">
        <f aca="false">Inputs!$C$11*Inputs!$C$12/2*Inputs!$C$14*(1-Inputs!$C$13)^(24-1)</f>
        <v>73507.5</v>
      </c>
      <c r="BB6" s="0" t="n">
        <f aca="false">Inputs!$C$11*Inputs!$C$12/2*Inputs!$C$14*(1-Inputs!$C$13)^(25-1)</f>
        <v>73507.5</v>
      </c>
      <c r="BC6" s="0" t="n">
        <f aca="false">Inputs!$C$11*Inputs!$C$12/2*Inputs!$C$14*(1-Inputs!$C$13)^(25-1)</f>
        <v>73507.5</v>
      </c>
    </row>
    <row r="7" customFormat="false" ht="15" hidden="false" customHeight="false" outlineLevel="0" collapsed="false">
      <c r="A7" s="0" t="s">
        <v>140</v>
      </c>
      <c r="C7" s="0" t="n">
        <v>0</v>
      </c>
      <c r="D7" s="0" t="n">
        <v>0</v>
      </c>
      <c r="E7" s="0" t="n">
        <v>0</v>
      </c>
      <c r="F7" s="0" t="n">
        <f aca="false">Inputs!$C$15*(1+Inputs!$C$17)^(1-1)</f>
        <v>60</v>
      </c>
      <c r="G7" s="0" t="n">
        <f aca="false">Inputs!$C$15*(1+Inputs!$C$17)^(1-1)</f>
        <v>60</v>
      </c>
      <c r="H7" s="0" t="n">
        <f aca="false">Inputs!$C$15*(1+Inputs!$C$17)^(2-1)</f>
        <v>61.2</v>
      </c>
      <c r="I7" s="0" t="n">
        <f aca="false">Inputs!$C$15*(1+Inputs!$C$17)^(2-1)</f>
        <v>61.2</v>
      </c>
      <c r="J7" s="0" t="n">
        <f aca="false">Inputs!$C$15*(1+Inputs!$C$17)^(3-1)</f>
        <v>62.424</v>
      </c>
      <c r="K7" s="0" t="n">
        <f aca="false">Inputs!$C$15*(1+Inputs!$C$17)^(3-1)</f>
        <v>62.424</v>
      </c>
      <c r="L7" s="0" t="n">
        <f aca="false">Inputs!$C$15*(1+Inputs!$C$17)^(4-1)</f>
        <v>63.67248</v>
      </c>
      <c r="M7" s="0" t="n">
        <f aca="false">Inputs!$C$15*(1+Inputs!$C$17)^(4-1)</f>
        <v>63.67248</v>
      </c>
      <c r="N7" s="0" t="n">
        <f aca="false">Inputs!$C$15*(1+Inputs!$C$17)^(5-1)</f>
        <v>64.9459296</v>
      </c>
      <c r="O7" s="0" t="n">
        <f aca="false">Inputs!$C$15*(1+Inputs!$C$17)^(5-1)</f>
        <v>64.9459296</v>
      </c>
      <c r="P7" s="0" t="n">
        <f aca="false">Inputs!$C$15*(1+Inputs!$C$17)^(6-1)</f>
        <v>66.244848192</v>
      </c>
      <c r="Q7" s="0" t="n">
        <f aca="false">Inputs!$C$15*(1+Inputs!$C$17)^(6-1)</f>
        <v>66.244848192</v>
      </c>
      <c r="R7" s="0" t="n">
        <f aca="false">Inputs!$C$15*(1+Inputs!$C$17)^(7-1)</f>
        <v>67.56974515584</v>
      </c>
      <c r="S7" s="0" t="n">
        <f aca="false">Inputs!$C$15*(1+Inputs!$C$17)^(7-1)</f>
        <v>67.56974515584</v>
      </c>
      <c r="T7" s="0" t="n">
        <f aca="false">Inputs!$C$15*(1+Inputs!$C$17)^(8-1)</f>
        <v>68.9211400589568</v>
      </c>
      <c r="U7" s="0" t="n">
        <f aca="false">Inputs!$C$15*(1+Inputs!$C$17)^(8-1)</f>
        <v>68.9211400589568</v>
      </c>
      <c r="V7" s="0" t="n">
        <f aca="false">Inputs!$C$15*(1+Inputs!$C$17)^(9-1)</f>
        <v>70.299562860136</v>
      </c>
      <c r="W7" s="0" t="n">
        <f aca="false">Inputs!$C$15*(1+Inputs!$C$17)^(9-1)</f>
        <v>70.299562860136</v>
      </c>
      <c r="X7" s="0" t="n">
        <f aca="false">Inputs!$C$15*(1+Inputs!$C$17)^(10-1)</f>
        <v>71.7055541173387</v>
      </c>
      <c r="Y7" s="0" t="n">
        <f aca="false">Inputs!$C$15*(1+Inputs!$C$17)^(10-1)</f>
        <v>71.7055541173387</v>
      </c>
      <c r="Z7" s="0" t="n">
        <f aca="false">Inputs!$C$15*(1+Inputs!$C$17)^(11-1)</f>
        <v>73.1396651996854</v>
      </c>
      <c r="AA7" s="0" t="n">
        <f aca="false">Inputs!$C$15*(1+Inputs!$C$17)^(11-1)</f>
        <v>73.1396651996854</v>
      </c>
      <c r="AB7" s="0" t="n">
        <f aca="false">Inputs!$C$15*(1+Inputs!$C$17)^(12-1)</f>
        <v>74.6024585036791</v>
      </c>
      <c r="AC7" s="0" t="n">
        <f aca="false">Inputs!$C$15*(1+Inputs!$C$17)^(12-1)</f>
        <v>74.6024585036791</v>
      </c>
      <c r="AD7" s="0" t="n">
        <f aca="false">Inputs!$C$15*(1+Inputs!$C$17)^(13-1)</f>
        <v>76.0945076737527</v>
      </c>
      <c r="AE7" s="0" t="n">
        <f aca="false">Inputs!$C$15*(1+Inputs!$C$17)^(13-1)</f>
        <v>76.0945076737527</v>
      </c>
      <c r="AF7" s="0" t="n">
        <f aca="false">Inputs!$C$15*(1+Inputs!$C$17)^(14-1)</f>
        <v>77.6163978272278</v>
      </c>
      <c r="AG7" s="0" t="n">
        <f aca="false">Inputs!$C$15*(1+Inputs!$C$17)^(14-1)</f>
        <v>77.6163978272278</v>
      </c>
      <c r="AH7" s="0" t="n">
        <f aca="false">Inputs!$C$15*(1+Inputs!$C$17)^(15-1)</f>
        <v>79.1687257837724</v>
      </c>
      <c r="AI7" s="0" t="n">
        <f aca="false">Inputs!$C$15*(1+Inputs!$C$17)^(15-1)</f>
        <v>79.1687257837724</v>
      </c>
      <c r="AJ7" s="0" t="n">
        <f aca="false">Inputs!$C$15*(1+Inputs!$C$17)^(16-1)</f>
        <v>80.7521002994478</v>
      </c>
      <c r="AK7" s="0" t="n">
        <f aca="false">Inputs!$C$15*(1+Inputs!$C$17)^(16-1)</f>
        <v>80.7521002994478</v>
      </c>
      <c r="AL7" s="0" t="n">
        <f aca="false">Inputs!$C$15*(1+Inputs!$C$17)^(17-1)</f>
        <v>82.3671423054367</v>
      </c>
      <c r="AM7" s="0" t="n">
        <f aca="false">Inputs!$C$15*(1+Inputs!$C$17)^(17-1)</f>
        <v>82.3671423054367</v>
      </c>
      <c r="AN7" s="0" t="n">
        <f aca="false">Inputs!$C$15*(1+Inputs!$C$17)^(18-1)</f>
        <v>84.0144851515455</v>
      </c>
      <c r="AO7" s="0" t="n">
        <f aca="false">Inputs!$C$15*(1+Inputs!$C$17)^(18-1)</f>
        <v>84.0144851515455</v>
      </c>
      <c r="AP7" s="0" t="n">
        <f aca="false">Inputs!$C$15*(1+Inputs!$C$17)^(19-1)</f>
        <v>85.6947748545764</v>
      </c>
      <c r="AQ7" s="0" t="n">
        <f aca="false">Inputs!$C$15*(1+Inputs!$C$17)^(19-1)</f>
        <v>85.6947748545764</v>
      </c>
      <c r="AR7" s="0" t="n">
        <f aca="false">Inputs!$C$15*(1+Inputs!$C$17)^(20-1)</f>
        <v>87.4086703516679</v>
      </c>
      <c r="AS7" s="0" t="n">
        <f aca="false">Inputs!$C$15*(1+Inputs!$C$17)^(20-1)</f>
        <v>87.4086703516679</v>
      </c>
      <c r="AT7" s="0" t="n">
        <f aca="false">Inputs!$C$15*(1+Inputs!$C$17)^(21-1)</f>
        <v>89.1568437587013</v>
      </c>
      <c r="AU7" s="0" t="n">
        <f aca="false">Inputs!$C$15*(1+Inputs!$C$17)^(21-1)</f>
        <v>89.1568437587013</v>
      </c>
      <c r="AV7" s="0" t="n">
        <f aca="false">Inputs!$C$15*(1+Inputs!$C$17)^(22-1)</f>
        <v>90.9399806338753</v>
      </c>
      <c r="AW7" s="0" t="n">
        <f aca="false">Inputs!$C$15*(1+Inputs!$C$17)^(22-1)</f>
        <v>90.9399806338753</v>
      </c>
      <c r="AX7" s="0" t="n">
        <f aca="false">Inputs!$C$15*(1+Inputs!$C$17)^(23-1)</f>
        <v>92.7587802465528</v>
      </c>
      <c r="AY7" s="0" t="n">
        <f aca="false">Inputs!$C$15*(1+Inputs!$C$17)^(23-1)</f>
        <v>92.7587802465528</v>
      </c>
      <c r="AZ7" s="0" t="n">
        <f aca="false">Inputs!$C$15*(1+Inputs!$C$17)^(24-1)</f>
        <v>94.6139558514839</v>
      </c>
      <c r="BA7" s="0" t="n">
        <f aca="false">Inputs!$C$15*(1+Inputs!$C$17)^(24-1)</f>
        <v>94.6139558514839</v>
      </c>
      <c r="BB7" s="0" t="n">
        <f aca="false">Inputs!$C$15*(1+Inputs!$C$17)^(25-1)</f>
        <v>96.5062349685136</v>
      </c>
      <c r="BC7" s="0" t="n">
        <f aca="false">Inputs!$C$15*(1+Inputs!$C$17)^(25-1)</f>
        <v>96.5062349685136</v>
      </c>
    </row>
    <row r="8" customFormat="false" ht="15" hidden="false" customHeight="false" outlineLevel="0" collapsed="false">
      <c r="A8" s="0" t="s">
        <v>141</v>
      </c>
      <c r="C8" s="0" t="n">
        <v>0</v>
      </c>
      <c r="D8" s="0" t="n">
        <v>0</v>
      </c>
      <c r="E8" s="0" t="n">
        <v>0</v>
      </c>
      <c r="F8" s="0" t="n">
        <f aca="false">Inputs!$C$18</f>
        <v>65</v>
      </c>
      <c r="G8" s="0" t="n">
        <f aca="false">Inputs!$C$18</f>
        <v>65</v>
      </c>
      <c r="H8" s="0" t="n">
        <f aca="false">Inputs!$C$19</f>
        <v>66.3</v>
      </c>
      <c r="I8" s="0" t="n">
        <f aca="false">Inputs!$C$19</f>
        <v>66.3</v>
      </c>
      <c r="J8" s="0" t="n">
        <f aca="false">Inputs!$C$19*(1+Inputs!$C$20)^(3-2)</f>
        <v>67.626</v>
      </c>
      <c r="K8" s="0" t="n">
        <f aca="false">Inputs!$C$19*(1+Inputs!$C$20)^(3-2)</f>
        <v>67.626</v>
      </c>
      <c r="L8" s="0" t="n">
        <f aca="false">Inputs!$C$19*(1+Inputs!$C$20)^(4-2)</f>
        <v>68.97852</v>
      </c>
      <c r="M8" s="0" t="n">
        <f aca="false">Inputs!$C$19*(1+Inputs!$C$20)^(4-2)</f>
        <v>68.97852</v>
      </c>
      <c r="N8" s="0" t="n">
        <f aca="false">Inputs!$C$19*(1+Inputs!$C$20)^(5-2)</f>
        <v>70.3580904</v>
      </c>
      <c r="O8" s="0" t="n">
        <f aca="false">Inputs!$C$19*(1+Inputs!$C$20)^(5-2)</f>
        <v>70.3580904</v>
      </c>
      <c r="P8" s="0" t="n">
        <f aca="false">Inputs!$C$19*(1+Inputs!$C$20)^(6-2)</f>
        <v>71.765252208</v>
      </c>
      <c r="Q8" s="0" t="n">
        <f aca="false">Inputs!$C$19*(1+Inputs!$C$20)^(6-2)</f>
        <v>71.765252208</v>
      </c>
      <c r="R8" s="0" t="n">
        <f aca="false">Inputs!$C$19*(1+Inputs!$C$20)^(7-2)</f>
        <v>73.20055725216</v>
      </c>
      <c r="S8" s="0" t="n">
        <f aca="false">Inputs!$C$19*(1+Inputs!$C$20)^(7-2)</f>
        <v>73.20055725216</v>
      </c>
      <c r="T8" s="0" t="n">
        <f aca="false">Inputs!$C$19*(1+Inputs!$C$20)^(8-2)</f>
        <v>74.6645683972032</v>
      </c>
      <c r="U8" s="0" t="n">
        <f aca="false">Inputs!$C$19*(1+Inputs!$C$20)^(8-2)</f>
        <v>74.6645683972032</v>
      </c>
      <c r="V8" s="0" t="n">
        <f aca="false">Inputs!$C$19*(1+Inputs!$C$20)^(9-2)</f>
        <v>76.1578597651473</v>
      </c>
      <c r="W8" s="0" t="n">
        <f aca="false">Inputs!$C$19*(1+Inputs!$C$20)^(9-2)</f>
        <v>76.1578597651473</v>
      </c>
      <c r="X8" s="0" t="n">
        <f aca="false">Inputs!$C$19*(1+Inputs!$C$20)^(10-2)</f>
        <v>77.6810169604502</v>
      </c>
      <c r="Y8" s="0" t="n">
        <f aca="false">Inputs!$C$19*(1+Inputs!$C$20)^(10-2)</f>
        <v>77.6810169604502</v>
      </c>
      <c r="Z8" s="0" t="n">
        <f aca="false">Inputs!$C$19*(1+Inputs!$C$20)^(11-2)</f>
        <v>79.2346372996592</v>
      </c>
      <c r="AA8" s="0" t="n">
        <f aca="false">Inputs!$C$19*(1+Inputs!$C$20)^(11-2)</f>
        <v>79.2346372996592</v>
      </c>
      <c r="AB8" s="0" t="n">
        <f aca="false">Inputs!$C$19*(1+Inputs!$C$20)^(12-2)</f>
        <v>80.8193300456524</v>
      </c>
      <c r="AC8" s="0" t="n">
        <f aca="false">Inputs!$C$19*(1+Inputs!$C$20)^(12-2)</f>
        <v>80.8193300456524</v>
      </c>
      <c r="AD8" s="0" t="n">
        <f aca="false">Inputs!$C$19*(1+Inputs!$C$20)^(13-2)</f>
        <v>82.4357166465655</v>
      </c>
      <c r="AE8" s="0" t="n">
        <f aca="false">Inputs!$C$19*(1+Inputs!$C$20)^(13-2)</f>
        <v>82.4357166465655</v>
      </c>
      <c r="AF8" s="0" t="n">
        <f aca="false">Inputs!$C$19*(1+Inputs!$C$20)^(14-2)</f>
        <v>84.0844309794968</v>
      </c>
      <c r="AG8" s="0" t="n">
        <f aca="false">Inputs!$C$19*(1+Inputs!$C$20)^(14-2)</f>
        <v>84.0844309794968</v>
      </c>
      <c r="AH8" s="0" t="n">
        <f aca="false">Inputs!$C$19*(1+Inputs!$C$20)^(15-2)</f>
        <v>85.7661195990867</v>
      </c>
      <c r="AI8" s="0" t="n">
        <f aca="false">Inputs!$C$19*(1+Inputs!$C$20)^(15-2)</f>
        <v>85.7661195990867</v>
      </c>
      <c r="AJ8" s="0" t="n">
        <f aca="false">Inputs!$C$19*(1+Inputs!$C$20)^(16-2)</f>
        <v>87.4814419910684</v>
      </c>
      <c r="AK8" s="0" t="n">
        <f aca="false">Inputs!$C$19*(1+Inputs!$C$20)^(16-2)</f>
        <v>87.4814419910684</v>
      </c>
      <c r="AL8" s="0" t="n">
        <f aca="false">Inputs!$C$19*(1+Inputs!$C$20)^(17-2)</f>
        <v>89.2310708308898</v>
      </c>
      <c r="AM8" s="0" t="n">
        <f aca="false">Inputs!$C$19*(1+Inputs!$C$20)^(17-2)</f>
        <v>89.2310708308898</v>
      </c>
      <c r="AN8" s="0" t="n">
        <f aca="false">Inputs!$C$19*(1+Inputs!$C$20)^(18-2)</f>
        <v>91.0156922475076</v>
      </c>
      <c r="AO8" s="0" t="n">
        <f aca="false">Inputs!$C$19*(1+Inputs!$C$20)^(18-2)</f>
        <v>91.0156922475076</v>
      </c>
      <c r="AP8" s="0" t="n">
        <f aca="false">Inputs!$C$19*(1+Inputs!$C$20)^(19-2)</f>
        <v>92.8360060924578</v>
      </c>
      <c r="AQ8" s="0" t="n">
        <f aca="false">Inputs!$C$19*(1+Inputs!$C$20)^(19-2)</f>
        <v>92.8360060924578</v>
      </c>
      <c r="AR8" s="0" t="n">
        <f aca="false">Inputs!$C$19*(1+Inputs!$C$20)^(20-2)</f>
        <v>94.6927262143069</v>
      </c>
      <c r="AS8" s="0" t="n">
        <f aca="false">Inputs!$C$19*(1+Inputs!$C$20)^(20-2)</f>
        <v>94.6927262143069</v>
      </c>
      <c r="AT8" s="0" t="n">
        <f aca="false">Inputs!$C$19*(1+Inputs!$C$20)^(21-2)</f>
        <v>96.5865807385931</v>
      </c>
      <c r="AU8" s="0" t="n">
        <f aca="false">Inputs!$C$19*(1+Inputs!$C$20)^(21-2)</f>
        <v>96.5865807385931</v>
      </c>
      <c r="AV8" s="0" t="n">
        <f aca="false">Inputs!$C$19*(1+Inputs!$C$20)^(22-2)</f>
        <v>98.5183123533649</v>
      </c>
      <c r="AW8" s="0" t="n">
        <f aca="false">Inputs!$C$19*(1+Inputs!$C$20)^(22-2)</f>
        <v>98.5183123533649</v>
      </c>
      <c r="AX8" s="0" t="n">
        <f aca="false">Inputs!$C$19*(1+Inputs!$C$20)^(23-2)</f>
        <v>100.488678600432</v>
      </c>
      <c r="AY8" s="0" t="n">
        <f aca="false">Inputs!$C$19*(1+Inputs!$C$20)^(23-2)</f>
        <v>100.488678600432</v>
      </c>
      <c r="AZ8" s="0" t="n">
        <f aca="false">Inputs!$C$19*(1+Inputs!$C$20)^(24-2)</f>
        <v>102.498452172441</v>
      </c>
      <c r="BA8" s="0" t="n">
        <f aca="false">Inputs!$C$19*(1+Inputs!$C$20)^(24-2)</f>
        <v>102.498452172441</v>
      </c>
      <c r="BB8" s="0" t="n">
        <f aca="false">Inputs!$C$19*(1+Inputs!$C$20)^(25-2)</f>
        <v>104.54842121589</v>
      </c>
      <c r="BC8" s="0" t="n">
        <f aca="false">Inputs!$C$19*(1+Inputs!$C$20)^(25-2)</f>
        <v>104.54842121589</v>
      </c>
    </row>
    <row r="9" customFormat="false" ht="15" hidden="false" customHeight="false" outlineLevel="0" collapsed="false">
      <c r="A9" s="0" t="s">
        <v>142</v>
      </c>
      <c r="C9" s="0" t="n">
        <v>0</v>
      </c>
      <c r="D9" s="0" t="n">
        <v>0</v>
      </c>
      <c r="E9" s="0" t="n">
        <v>0</v>
      </c>
      <c r="F9" s="0" t="n">
        <f aca="false">IF(1&lt;=Inputs!$C$16,1,0)</f>
        <v>1</v>
      </c>
      <c r="G9" s="0" t="n">
        <f aca="false">IF(1&lt;=Inputs!$C$16,1,0)</f>
        <v>1</v>
      </c>
      <c r="H9" s="0" t="n">
        <f aca="false">IF(2&lt;=Inputs!$C$16,1,0)</f>
        <v>1</v>
      </c>
      <c r="I9" s="0" t="n">
        <f aca="false">IF(2&lt;=Inputs!$C$16,1,0)</f>
        <v>1</v>
      </c>
      <c r="J9" s="0" t="n">
        <f aca="false">IF(3&lt;=Inputs!$C$16,1,0)</f>
        <v>1</v>
      </c>
      <c r="K9" s="0" t="n">
        <f aca="false">IF(3&lt;=Inputs!$C$16,1,0)</f>
        <v>1</v>
      </c>
      <c r="L9" s="0" t="n">
        <f aca="false">IF(4&lt;=Inputs!$C$16,1,0)</f>
        <v>1</v>
      </c>
      <c r="M9" s="0" t="n">
        <f aca="false">IF(4&lt;=Inputs!$C$16,1,0)</f>
        <v>1</v>
      </c>
      <c r="N9" s="0" t="n">
        <f aca="false">IF(5&lt;=Inputs!$C$16,1,0)</f>
        <v>1</v>
      </c>
      <c r="O9" s="0" t="n">
        <f aca="false">IF(5&lt;=Inputs!$C$16,1,0)</f>
        <v>1</v>
      </c>
      <c r="P9" s="0" t="n">
        <f aca="false">IF(6&lt;=Inputs!$C$16,1,0)</f>
        <v>1</v>
      </c>
      <c r="Q9" s="0" t="n">
        <f aca="false">IF(6&lt;=Inputs!$C$16,1,0)</f>
        <v>1</v>
      </c>
      <c r="R9" s="0" t="n">
        <f aca="false">IF(7&lt;=Inputs!$C$16,1,0)</f>
        <v>1</v>
      </c>
      <c r="S9" s="0" t="n">
        <f aca="false">IF(7&lt;=Inputs!$C$16,1,0)</f>
        <v>1</v>
      </c>
      <c r="T9" s="0" t="n">
        <f aca="false">IF(8&lt;=Inputs!$C$16,1,0)</f>
        <v>1</v>
      </c>
      <c r="U9" s="0" t="n">
        <f aca="false">IF(8&lt;=Inputs!$C$16,1,0)</f>
        <v>1</v>
      </c>
      <c r="V9" s="0" t="n">
        <f aca="false">IF(9&lt;=Inputs!$C$16,1,0)</f>
        <v>1</v>
      </c>
      <c r="W9" s="0" t="n">
        <f aca="false">IF(9&lt;=Inputs!$C$16,1,0)</f>
        <v>1</v>
      </c>
      <c r="X9" s="0" t="n">
        <f aca="false">IF(10&lt;=Inputs!$C$16,1,0)</f>
        <v>1</v>
      </c>
      <c r="Y9" s="0" t="n">
        <f aca="false">IF(10&lt;=Inputs!$C$16,1,0)</f>
        <v>1</v>
      </c>
      <c r="Z9" s="0" t="n">
        <f aca="false">IF(11&lt;=Inputs!$C$16,1,0)</f>
        <v>1</v>
      </c>
      <c r="AA9" s="0" t="n">
        <f aca="false">IF(11&lt;=Inputs!$C$16,1,0)</f>
        <v>1</v>
      </c>
      <c r="AB9" s="0" t="n">
        <f aca="false">IF(12&lt;=Inputs!$C$16,1,0)</f>
        <v>1</v>
      </c>
      <c r="AC9" s="0" t="n">
        <f aca="false">IF(12&lt;=Inputs!$C$16,1,0)</f>
        <v>1</v>
      </c>
      <c r="AD9" s="0" t="n">
        <f aca="false">IF(13&lt;=Inputs!$C$16,1,0)</f>
        <v>0</v>
      </c>
      <c r="AE9" s="0" t="n">
        <f aca="false">IF(13&lt;=Inputs!$C$16,1,0)</f>
        <v>0</v>
      </c>
      <c r="AF9" s="0" t="n">
        <f aca="false">IF(14&lt;=Inputs!$C$16,1,0)</f>
        <v>0</v>
      </c>
      <c r="AG9" s="0" t="n">
        <f aca="false">IF(14&lt;=Inputs!$C$16,1,0)</f>
        <v>0</v>
      </c>
      <c r="AH9" s="0" t="n">
        <f aca="false">IF(15&lt;=Inputs!$C$16,1,0)</f>
        <v>0</v>
      </c>
      <c r="AI9" s="0" t="n">
        <f aca="false">IF(15&lt;=Inputs!$C$16,1,0)</f>
        <v>0</v>
      </c>
      <c r="AJ9" s="0" t="n">
        <f aca="false">IF(16&lt;=Inputs!$C$16,1,0)</f>
        <v>0</v>
      </c>
      <c r="AK9" s="0" t="n">
        <f aca="false">IF(16&lt;=Inputs!$C$16,1,0)</f>
        <v>0</v>
      </c>
      <c r="AL9" s="0" t="n">
        <f aca="false">IF(17&lt;=Inputs!$C$16,1,0)</f>
        <v>0</v>
      </c>
      <c r="AM9" s="0" t="n">
        <f aca="false">IF(17&lt;=Inputs!$C$16,1,0)</f>
        <v>0</v>
      </c>
      <c r="AN9" s="0" t="n">
        <f aca="false">IF(18&lt;=Inputs!$C$16,1,0)</f>
        <v>0</v>
      </c>
      <c r="AO9" s="0" t="n">
        <f aca="false">IF(18&lt;=Inputs!$C$16,1,0)</f>
        <v>0</v>
      </c>
      <c r="AP9" s="0" t="n">
        <f aca="false">IF(19&lt;=Inputs!$C$16,1,0)</f>
        <v>0</v>
      </c>
      <c r="AQ9" s="0" t="n">
        <f aca="false">IF(19&lt;=Inputs!$C$16,1,0)</f>
        <v>0</v>
      </c>
      <c r="AR9" s="0" t="n">
        <f aca="false">IF(20&lt;=Inputs!$C$16,1,0)</f>
        <v>0</v>
      </c>
      <c r="AS9" s="0" t="n">
        <f aca="false">IF(20&lt;=Inputs!$C$16,1,0)</f>
        <v>0</v>
      </c>
      <c r="AT9" s="0" t="n">
        <f aca="false">IF(21&lt;=Inputs!$C$16,1,0)</f>
        <v>0</v>
      </c>
      <c r="AU9" s="0" t="n">
        <f aca="false">IF(21&lt;=Inputs!$C$16,1,0)</f>
        <v>0</v>
      </c>
      <c r="AV9" s="0" t="n">
        <f aca="false">IF(22&lt;=Inputs!$C$16,1,0)</f>
        <v>0</v>
      </c>
      <c r="AW9" s="0" t="n">
        <f aca="false">IF(22&lt;=Inputs!$C$16,1,0)</f>
        <v>0</v>
      </c>
      <c r="AX9" s="0" t="n">
        <f aca="false">IF(23&lt;=Inputs!$C$16,1,0)</f>
        <v>0</v>
      </c>
      <c r="AY9" s="0" t="n">
        <f aca="false">IF(23&lt;=Inputs!$C$16,1,0)</f>
        <v>0</v>
      </c>
      <c r="AZ9" s="0" t="n">
        <f aca="false">IF(24&lt;=Inputs!$C$16,1,0)</f>
        <v>0</v>
      </c>
      <c r="BA9" s="0" t="n">
        <f aca="false">IF(24&lt;=Inputs!$C$16,1,0)</f>
        <v>0</v>
      </c>
      <c r="BB9" s="0" t="n">
        <f aca="false">IF(25&lt;=Inputs!$C$16,1,0)</f>
        <v>0</v>
      </c>
      <c r="BC9" s="0" t="n">
        <f aca="false">IF(25&lt;=Inputs!$C$16,1,0)</f>
        <v>0</v>
      </c>
    </row>
    <row r="10" customFormat="false" ht="15" hidden="false" customHeight="false" outlineLevel="0" collapsed="false">
      <c r="A10" s="0" t="s">
        <v>143</v>
      </c>
      <c r="C10" s="0" t="n">
        <f aca="false">C6*IF(C9=1,C7,C8)/1000</f>
        <v>0</v>
      </c>
      <c r="D10" s="0" t="n">
        <f aca="false">D6*IF(D9=1,D7,D8)/1000</f>
        <v>0</v>
      </c>
      <c r="E10" s="0" t="n">
        <f aca="false">E6*IF(E9=1,E7,E8)/1000</f>
        <v>0</v>
      </c>
      <c r="F10" s="0" t="n">
        <f aca="false">F6*IF(F9=1,F7,F8)/1000</f>
        <v>4410.45</v>
      </c>
      <c r="G10" s="0" t="n">
        <f aca="false">G6*IF(G9=1,G7,G8)/1000</f>
        <v>4410.45</v>
      </c>
      <c r="H10" s="0" t="n">
        <f aca="false">H6*IF(H9=1,H7,H8)/1000</f>
        <v>4498.659</v>
      </c>
      <c r="I10" s="0" t="n">
        <f aca="false">I6*IF(I9=1,I7,I8)/1000</f>
        <v>4498.659</v>
      </c>
      <c r="J10" s="0" t="n">
        <f aca="false">J6*IF(J9=1,J7,J8)/1000</f>
        <v>4588.63218</v>
      </c>
      <c r="K10" s="0" t="n">
        <f aca="false">K6*IF(K9=1,K7,K8)/1000</f>
        <v>4588.63218</v>
      </c>
      <c r="L10" s="0" t="n">
        <f aca="false">L6*IF(L9=1,L7,L8)/1000</f>
        <v>4680.4048236</v>
      </c>
      <c r="M10" s="0" t="n">
        <f aca="false">M6*IF(M9=1,M7,M8)/1000</f>
        <v>4680.4048236</v>
      </c>
      <c r="N10" s="0" t="n">
        <f aca="false">N6*IF(N9=1,N7,N8)/1000</f>
        <v>4774.012920072</v>
      </c>
      <c r="O10" s="0" t="n">
        <f aca="false">O6*IF(O9=1,O7,O8)/1000</f>
        <v>4774.012920072</v>
      </c>
      <c r="P10" s="0" t="n">
        <f aca="false">P6*IF(P9=1,P7,P8)/1000</f>
        <v>4869.49317847344</v>
      </c>
      <c r="Q10" s="0" t="n">
        <f aca="false">Q6*IF(Q9=1,Q7,Q8)/1000</f>
        <v>4869.49317847344</v>
      </c>
      <c r="R10" s="0" t="n">
        <f aca="false">R6*IF(R9=1,R7,R8)/1000</f>
        <v>4966.88304204291</v>
      </c>
      <c r="S10" s="0" t="n">
        <f aca="false">S6*IF(S9=1,S7,S8)/1000</f>
        <v>4966.88304204291</v>
      </c>
      <c r="T10" s="0" t="n">
        <f aca="false">T6*IF(T9=1,T7,T8)/1000</f>
        <v>5066.22070288377</v>
      </c>
      <c r="U10" s="0" t="n">
        <f aca="false">U6*IF(U9=1,U7,U8)/1000</f>
        <v>5066.22070288377</v>
      </c>
      <c r="V10" s="0" t="n">
        <f aca="false">V6*IF(V9=1,V7,V8)/1000</f>
        <v>5167.54511694144</v>
      </c>
      <c r="W10" s="0" t="n">
        <f aca="false">W6*IF(W9=1,W7,W8)/1000</f>
        <v>5167.54511694144</v>
      </c>
      <c r="X10" s="0" t="n">
        <f aca="false">X6*IF(X9=1,X7,X8)/1000</f>
        <v>5270.89601928027</v>
      </c>
      <c r="Y10" s="0" t="n">
        <f aca="false">Y6*IF(Y9=1,Y7,Y8)/1000</f>
        <v>5270.89601928027</v>
      </c>
      <c r="Z10" s="0" t="n">
        <f aca="false">Z6*IF(Z9=1,Z7,Z8)/1000</f>
        <v>5376.31393966588</v>
      </c>
      <c r="AA10" s="0" t="n">
        <f aca="false">AA6*IF(AA9=1,AA7,AA8)/1000</f>
        <v>5376.31393966588</v>
      </c>
      <c r="AB10" s="0" t="n">
        <f aca="false">AB6*IF(AB9=1,AB7,AB8)/1000</f>
        <v>5483.84021845919</v>
      </c>
      <c r="AC10" s="0" t="n">
        <f aca="false">AC6*IF(AC9=1,AC7,AC8)/1000</f>
        <v>5483.84021845919</v>
      </c>
      <c r="AD10" s="0" t="n">
        <f aca="false">AD6*IF(AD9=1,AD7,AD8)/1000</f>
        <v>6059.64344139741</v>
      </c>
      <c r="AE10" s="0" t="n">
        <f aca="false">AE6*IF(AE9=1,AE7,AE8)/1000</f>
        <v>6059.64344139741</v>
      </c>
      <c r="AF10" s="0" t="n">
        <f aca="false">AF6*IF(AF9=1,AF7,AF8)/1000</f>
        <v>6180.83631022536</v>
      </c>
      <c r="AG10" s="0" t="n">
        <f aca="false">AG6*IF(AG9=1,AG7,AG8)/1000</f>
        <v>6180.83631022536</v>
      </c>
      <c r="AH10" s="0" t="n">
        <f aca="false">AH6*IF(AH9=1,AH7,AH8)/1000</f>
        <v>6304.45303642987</v>
      </c>
      <c r="AI10" s="0" t="n">
        <f aca="false">AI6*IF(AI9=1,AI7,AI8)/1000</f>
        <v>6304.45303642987</v>
      </c>
      <c r="AJ10" s="0" t="n">
        <f aca="false">AJ6*IF(AJ9=1,AJ7,AJ8)/1000</f>
        <v>6430.54209715846</v>
      </c>
      <c r="AK10" s="0" t="n">
        <f aca="false">AK6*IF(AK9=1,AK7,AK8)/1000</f>
        <v>6430.54209715846</v>
      </c>
      <c r="AL10" s="0" t="n">
        <f aca="false">AL6*IF(AL9=1,AL7,AL8)/1000</f>
        <v>6559.15293910163</v>
      </c>
      <c r="AM10" s="0" t="n">
        <f aca="false">AM6*IF(AM9=1,AM7,AM8)/1000</f>
        <v>6559.15293910163</v>
      </c>
      <c r="AN10" s="0" t="n">
        <f aca="false">AN6*IF(AN9=1,AN7,AN8)/1000</f>
        <v>6690.33599788367</v>
      </c>
      <c r="AO10" s="0" t="n">
        <f aca="false">AO6*IF(AO9=1,AO7,AO8)/1000</f>
        <v>6690.33599788367</v>
      </c>
      <c r="AP10" s="0" t="n">
        <f aca="false">AP6*IF(AP9=1,AP7,AP8)/1000</f>
        <v>6824.14271784134</v>
      </c>
      <c r="AQ10" s="0" t="n">
        <f aca="false">AQ6*IF(AQ9=1,AQ7,AQ8)/1000</f>
        <v>6824.14271784134</v>
      </c>
      <c r="AR10" s="0" t="n">
        <f aca="false">AR6*IF(AR9=1,AR7,AR8)/1000</f>
        <v>6960.62557219817</v>
      </c>
      <c r="AS10" s="0" t="n">
        <f aca="false">AS6*IF(AS9=1,AS7,AS8)/1000</f>
        <v>6960.62557219817</v>
      </c>
      <c r="AT10" s="0" t="n">
        <f aca="false">AT6*IF(AT9=1,AT7,AT8)/1000</f>
        <v>7099.83808364213</v>
      </c>
      <c r="AU10" s="0" t="n">
        <f aca="false">AU6*IF(AU9=1,AU7,AU8)/1000</f>
        <v>7099.83808364213</v>
      </c>
      <c r="AV10" s="0" t="n">
        <f aca="false">AV6*IF(AV9=1,AV7,AV8)/1000</f>
        <v>7241.83484531497</v>
      </c>
      <c r="AW10" s="0" t="n">
        <f aca="false">AW6*IF(AW9=1,AW7,AW8)/1000</f>
        <v>7241.83484531497</v>
      </c>
      <c r="AX10" s="0" t="n">
        <f aca="false">AX6*IF(AX9=1,AX7,AX8)/1000</f>
        <v>7386.67154222127</v>
      </c>
      <c r="AY10" s="0" t="n">
        <f aca="false">AY6*IF(AY9=1,AY7,AY8)/1000</f>
        <v>7386.67154222127</v>
      </c>
      <c r="AZ10" s="0" t="n">
        <f aca="false">AZ6*IF(AZ9=1,AZ7,AZ8)/1000</f>
        <v>7534.4049730657</v>
      </c>
      <c r="BA10" s="0" t="n">
        <f aca="false">BA6*IF(BA9=1,BA7,BA8)/1000</f>
        <v>7534.4049730657</v>
      </c>
      <c r="BB10" s="0" t="n">
        <f aca="false">BB6*IF(BB9=1,BB7,BB8)/1000</f>
        <v>7685.09307252701</v>
      </c>
      <c r="BC10" s="0" t="n">
        <f aca="false">BC6*IF(BC9=1,BC7,BC8)/1000</f>
        <v>7685.09307252701</v>
      </c>
    </row>
    <row r="11" customFormat="false" ht="15" hidden="false" customHeight="false" outlineLevel="0" collapsed="false">
      <c r="A11" s="0" t="s">
        <v>144</v>
      </c>
      <c r="C11" s="0" t="n">
        <f aca="false">-C6*Inputs!$C$21/1000</f>
        <v>-0</v>
      </c>
      <c r="D11" s="0" t="n">
        <f aca="false">-D6*Inputs!$C$21/1000</f>
        <v>-0</v>
      </c>
      <c r="E11" s="0" t="n">
        <f aca="false">-E6*Inputs!$C$21/1000</f>
        <v>-0</v>
      </c>
      <c r="F11" s="0" t="n">
        <f aca="false">-F6*Inputs!$C$21/1000</f>
        <v>-588.06</v>
      </c>
      <c r="G11" s="0" t="n">
        <f aca="false">-G6*Inputs!$C$21/1000</f>
        <v>-588.06</v>
      </c>
      <c r="H11" s="0" t="n">
        <f aca="false">-H6*Inputs!$C$21/1000</f>
        <v>-588.06</v>
      </c>
      <c r="I11" s="0" t="n">
        <f aca="false">-I6*Inputs!$C$21/1000</f>
        <v>-588.06</v>
      </c>
      <c r="J11" s="0" t="n">
        <f aca="false">-J6*Inputs!$C$21/1000</f>
        <v>-588.06</v>
      </c>
      <c r="K11" s="0" t="n">
        <f aca="false">-K6*Inputs!$C$21/1000</f>
        <v>-588.06</v>
      </c>
      <c r="L11" s="0" t="n">
        <f aca="false">-L6*Inputs!$C$21/1000</f>
        <v>-588.06</v>
      </c>
      <c r="M11" s="0" t="n">
        <f aca="false">-M6*Inputs!$C$21/1000</f>
        <v>-588.06</v>
      </c>
      <c r="N11" s="0" t="n">
        <f aca="false">-N6*Inputs!$C$21/1000</f>
        <v>-588.06</v>
      </c>
      <c r="O11" s="0" t="n">
        <f aca="false">-O6*Inputs!$C$21/1000</f>
        <v>-588.06</v>
      </c>
      <c r="P11" s="0" t="n">
        <f aca="false">-P6*Inputs!$C$21/1000</f>
        <v>-588.06</v>
      </c>
      <c r="Q11" s="0" t="n">
        <f aca="false">-Q6*Inputs!$C$21/1000</f>
        <v>-588.06</v>
      </c>
      <c r="R11" s="0" t="n">
        <f aca="false">-R6*Inputs!$C$21/1000</f>
        <v>-588.06</v>
      </c>
      <c r="S11" s="0" t="n">
        <f aca="false">-S6*Inputs!$C$21/1000</f>
        <v>-588.06</v>
      </c>
      <c r="T11" s="0" t="n">
        <f aca="false">-T6*Inputs!$C$21/1000</f>
        <v>-588.06</v>
      </c>
      <c r="U11" s="0" t="n">
        <f aca="false">-U6*Inputs!$C$21/1000</f>
        <v>-588.06</v>
      </c>
      <c r="V11" s="0" t="n">
        <f aca="false">-V6*Inputs!$C$21/1000</f>
        <v>-588.06</v>
      </c>
      <c r="W11" s="0" t="n">
        <f aca="false">-W6*Inputs!$C$21/1000</f>
        <v>-588.06</v>
      </c>
      <c r="X11" s="0" t="n">
        <f aca="false">-X6*Inputs!$C$21/1000</f>
        <v>-588.06</v>
      </c>
      <c r="Y11" s="0" t="n">
        <f aca="false">-Y6*Inputs!$C$21/1000</f>
        <v>-588.06</v>
      </c>
      <c r="Z11" s="0" t="n">
        <f aca="false">-Z6*Inputs!$C$21/1000</f>
        <v>-588.06</v>
      </c>
      <c r="AA11" s="0" t="n">
        <f aca="false">-AA6*Inputs!$C$21/1000</f>
        <v>-588.06</v>
      </c>
      <c r="AB11" s="0" t="n">
        <f aca="false">-AB6*Inputs!$C$21/1000</f>
        <v>-588.06</v>
      </c>
      <c r="AC11" s="0" t="n">
        <f aca="false">-AC6*Inputs!$C$21/1000</f>
        <v>-588.06</v>
      </c>
      <c r="AD11" s="0" t="n">
        <f aca="false">-AD6*Inputs!$C$21/1000</f>
        <v>-588.06</v>
      </c>
      <c r="AE11" s="0" t="n">
        <f aca="false">-AE6*Inputs!$C$21/1000</f>
        <v>-588.06</v>
      </c>
      <c r="AF11" s="0" t="n">
        <f aca="false">-AF6*Inputs!$C$21/1000</f>
        <v>-588.06</v>
      </c>
      <c r="AG11" s="0" t="n">
        <f aca="false">-AG6*Inputs!$C$21/1000</f>
        <v>-588.06</v>
      </c>
      <c r="AH11" s="0" t="n">
        <f aca="false">-AH6*Inputs!$C$21/1000</f>
        <v>-588.06</v>
      </c>
      <c r="AI11" s="0" t="n">
        <f aca="false">-AI6*Inputs!$C$21/1000</f>
        <v>-588.06</v>
      </c>
      <c r="AJ11" s="0" t="n">
        <f aca="false">-AJ6*Inputs!$C$21/1000</f>
        <v>-588.06</v>
      </c>
      <c r="AK11" s="0" t="n">
        <f aca="false">-AK6*Inputs!$C$21/1000</f>
        <v>-588.06</v>
      </c>
      <c r="AL11" s="0" t="n">
        <f aca="false">-AL6*Inputs!$C$21/1000</f>
        <v>-588.06</v>
      </c>
      <c r="AM11" s="0" t="n">
        <f aca="false">-AM6*Inputs!$C$21/1000</f>
        <v>-588.06</v>
      </c>
      <c r="AN11" s="0" t="n">
        <f aca="false">-AN6*Inputs!$C$21/1000</f>
        <v>-588.06</v>
      </c>
      <c r="AO11" s="0" t="n">
        <f aca="false">-AO6*Inputs!$C$21/1000</f>
        <v>-588.06</v>
      </c>
      <c r="AP11" s="0" t="n">
        <f aca="false">-AP6*Inputs!$C$21/1000</f>
        <v>-588.06</v>
      </c>
      <c r="AQ11" s="0" t="n">
        <f aca="false">-AQ6*Inputs!$C$21/1000</f>
        <v>-588.06</v>
      </c>
      <c r="AR11" s="0" t="n">
        <f aca="false">-AR6*Inputs!$C$21/1000</f>
        <v>-588.06</v>
      </c>
      <c r="AS11" s="0" t="n">
        <f aca="false">-AS6*Inputs!$C$21/1000</f>
        <v>-588.06</v>
      </c>
      <c r="AT11" s="0" t="n">
        <f aca="false">-AT6*Inputs!$C$21/1000</f>
        <v>-588.06</v>
      </c>
      <c r="AU11" s="0" t="n">
        <f aca="false">-AU6*Inputs!$C$21/1000</f>
        <v>-588.06</v>
      </c>
      <c r="AV11" s="0" t="n">
        <f aca="false">-AV6*Inputs!$C$21/1000</f>
        <v>-588.06</v>
      </c>
      <c r="AW11" s="0" t="n">
        <f aca="false">-AW6*Inputs!$C$21/1000</f>
        <v>-588.06</v>
      </c>
      <c r="AX11" s="0" t="n">
        <f aca="false">-AX6*Inputs!$C$21/1000</f>
        <v>-588.06</v>
      </c>
      <c r="AY11" s="0" t="n">
        <f aca="false">-AY6*Inputs!$C$21/1000</f>
        <v>-588.06</v>
      </c>
      <c r="AZ11" s="0" t="n">
        <f aca="false">-AZ6*Inputs!$C$21/1000</f>
        <v>-588.06</v>
      </c>
      <c r="BA11" s="0" t="n">
        <f aca="false">-BA6*Inputs!$C$21/1000</f>
        <v>-588.06</v>
      </c>
      <c r="BB11" s="0" t="n">
        <f aca="false">-BB6*Inputs!$C$21/1000</f>
        <v>-588.06</v>
      </c>
      <c r="BC11" s="0" t="n">
        <f aca="false">-BC6*Inputs!$C$21/1000</f>
        <v>-588.06</v>
      </c>
    </row>
    <row r="12" customFormat="false" ht="15" hidden="false" customHeight="false" outlineLevel="0" collapsed="false">
      <c r="A12" s="0" t="s">
        <v>145</v>
      </c>
      <c r="C12" s="0" t="n">
        <f aca="false">C6*Inputs!$C$23*1/1000</f>
        <v>0</v>
      </c>
      <c r="D12" s="0" t="n">
        <f aca="false">D6*Inputs!$C$23*1/1000</f>
        <v>0</v>
      </c>
      <c r="E12" s="0" t="n">
        <f aca="false">E6*Inputs!$C$23*1/1000</f>
        <v>0</v>
      </c>
      <c r="F12" s="0" t="n">
        <f aca="false">F6*Inputs!$C$23*1/1000</f>
        <v>367.5375</v>
      </c>
      <c r="G12" s="0" t="n">
        <f aca="false">G6*Inputs!$C$23*1/1000</f>
        <v>367.5375</v>
      </c>
      <c r="H12" s="0" t="n">
        <f aca="false">H6*Inputs!$C$23*1/1000</f>
        <v>367.5375</v>
      </c>
      <c r="I12" s="0" t="n">
        <f aca="false">I6*Inputs!$C$23*1/1000</f>
        <v>367.5375</v>
      </c>
      <c r="J12" s="0" t="n">
        <f aca="false">J6*Inputs!$C$23*1/1000</f>
        <v>367.5375</v>
      </c>
      <c r="K12" s="0" t="n">
        <f aca="false">K6*Inputs!$C$23*1/1000</f>
        <v>367.5375</v>
      </c>
      <c r="L12" s="0" t="n">
        <f aca="false">L6*Inputs!$C$23*1/1000</f>
        <v>367.5375</v>
      </c>
      <c r="M12" s="0" t="n">
        <f aca="false">M6*Inputs!$C$23*1/1000</f>
        <v>367.5375</v>
      </c>
      <c r="N12" s="0" t="n">
        <f aca="false">N6*Inputs!$C$23*1/1000</f>
        <v>367.5375</v>
      </c>
      <c r="O12" s="0" t="n">
        <f aca="false">O6*Inputs!$C$23*1/1000</f>
        <v>367.5375</v>
      </c>
      <c r="P12" s="0" t="n">
        <f aca="false">P6*Inputs!$C$23*1/1000</f>
        <v>367.5375</v>
      </c>
      <c r="Q12" s="0" t="n">
        <f aca="false">Q6*Inputs!$C$23*1/1000</f>
        <v>367.5375</v>
      </c>
      <c r="R12" s="0" t="n">
        <f aca="false">R6*Inputs!$C$23*1/1000</f>
        <v>367.5375</v>
      </c>
      <c r="S12" s="0" t="n">
        <f aca="false">S6*Inputs!$C$23*1/1000</f>
        <v>367.5375</v>
      </c>
      <c r="T12" s="0" t="n">
        <f aca="false">T6*Inputs!$C$23*1/1000</f>
        <v>367.5375</v>
      </c>
      <c r="U12" s="0" t="n">
        <f aca="false">U6*Inputs!$C$23*1/1000</f>
        <v>367.5375</v>
      </c>
      <c r="V12" s="0" t="n">
        <f aca="false">V6*Inputs!$C$23*1/1000</f>
        <v>367.5375</v>
      </c>
      <c r="W12" s="0" t="n">
        <f aca="false">W6*Inputs!$C$23*1/1000</f>
        <v>367.5375</v>
      </c>
      <c r="X12" s="0" t="n">
        <f aca="false">X6*Inputs!$C$23*1/1000</f>
        <v>367.5375</v>
      </c>
      <c r="Y12" s="0" t="n">
        <f aca="false">Y6*Inputs!$C$23*1/1000</f>
        <v>367.5375</v>
      </c>
      <c r="Z12" s="0" t="n">
        <f aca="false">Z6*Inputs!$C$23*1/1000</f>
        <v>367.5375</v>
      </c>
      <c r="AA12" s="0" t="n">
        <f aca="false">AA6*Inputs!$C$23*1/1000</f>
        <v>367.5375</v>
      </c>
      <c r="AB12" s="0" t="n">
        <f aca="false">AB6*Inputs!$C$23*1/1000</f>
        <v>367.5375</v>
      </c>
      <c r="AC12" s="0" t="n">
        <f aca="false">AC6*Inputs!$C$23*1/1000</f>
        <v>367.5375</v>
      </c>
      <c r="AD12" s="0" t="n">
        <f aca="false">AD6*Inputs!$C$23*1/1000</f>
        <v>367.5375</v>
      </c>
      <c r="AE12" s="0" t="n">
        <f aca="false">AE6*Inputs!$C$23*1/1000</f>
        <v>367.5375</v>
      </c>
      <c r="AF12" s="0" t="n">
        <f aca="false">AF6*Inputs!$C$23*1/1000</f>
        <v>367.5375</v>
      </c>
      <c r="AG12" s="0" t="n">
        <f aca="false">AG6*Inputs!$C$23*1/1000</f>
        <v>367.5375</v>
      </c>
      <c r="AH12" s="0" t="n">
        <f aca="false">AH6*Inputs!$C$23*1/1000</f>
        <v>367.5375</v>
      </c>
      <c r="AI12" s="0" t="n">
        <f aca="false">AI6*Inputs!$C$23*1/1000</f>
        <v>367.5375</v>
      </c>
      <c r="AJ12" s="0" t="n">
        <f aca="false">AJ6*Inputs!$C$23*1/1000</f>
        <v>367.5375</v>
      </c>
      <c r="AK12" s="0" t="n">
        <f aca="false">AK6*Inputs!$C$23*1/1000</f>
        <v>367.5375</v>
      </c>
      <c r="AL12" s="0" t="n">
        <f aca="false">AL6*Inputs!$C$23*1/1000</f>
        <v>367.5375</v>
      </c>
      <c r="AM12" s="0" t="n">
        <f aca="false">AM6*Inputs!$C$23*1/1000</f>
        <v>367.5375</v>
      </c>
      <c r="AN12" s="0" t="n">
        <f aca="false">AN6*Inputs!$C$23*1/1000</f>
        <v>367.5375</v>
      </c>
      <c r="AO12" s="0" t="n">
        <f aca="false">AO6*Inputs!$C$23*1/1000</f>
        <v>367.5375</v>
      </c>
      <c r="AP12" s="0" t="n">
        <f aca="false">AP6*Inputs!$C$23*1/1000</f>
        <v>367.5375</v>
      </c>
      <c r="AQ12" s="0" t="n">
        <f aca="false">AQ6*Inputs!$C$23*1/1000</f>
        <v>367.5375</v>
      </c>
      <c r="AR12" s="0" t="n">
        <f aca="false">AR6*Inputs!$C$23*1/1000</f>
        <v>367.5375</v>
      </c>
      <c r="AS12" s="0" t="n">
        <f aca="false">AS6*Inputs!$C$23*1/1000</f>
        <v>367.5375</v>
      </c>
      <c r="AT12" s="0" t="n">
        <f aca="false">AT6*Inputs!$C$23*1/1000</f>
        <v>367.5375</v>
      </c>
      <c r="AU12" s="0" t="n">
        <f aca="false">AU6*Inputs!$C$23*1/1000</f>
        <v>367.5375</v>
      </c>
      <c r="AV12" s="0" t="n">
        <f aca="false">AV6*Inputs!$C$23*1/1000</f>
        <v>367.5375</v>
      </c>
      <c r="AW12" s="0" t="n">
        <f aca="false">AW6*Inputs!$C$23*1/1000</f>
        <v>367.5375</v>
      </c>
      <c r="AX12" s="0" t="n">
        <f aca="false">AX6*Inputs!$C$23*1/1000</f>
        <v>367.5375</v>
      </c>
      <c r="AY12" s="0" t="n">
        <f aca="false">AY6*Inputs!$C$23*1/1000</f>
        <v>367.5375</v>
      </c>
      <c r="AZ12" s="0" t="n">
        <f aca="false">AZ6*Inputs!$C$23*1/1000</f>
        <v>367.5375</v>
      </c>
      <c r="BA12" s="0" t="n">
        <f aca="false">BA6*Inputs!$C$23*1/1000</f>
        <v>367.5375</v>
      </c>
      <c r="BB12" s="0" t="n">
        <f aca="false">BB6*Inputs!$C$23*1/1000</f>
        <v>367.5375</v>
      </c>
      <c r="BC12" s="0" t="n">
        <f aca="false">BC6*Inputs!$C$23*1/1000</f>
        <v>367.5375</v>
      </c>
    </row>
    <row r="13" customFormat="false" ht="15" hidden="false" customHeight="false" outlineLevel="0" collapsed="false">
      <c r="A13" s="1" t="s">
        <v>146</v>
      </c>
      <c r="C13" s="1" t="n">
        <f aca="false">C10+C11+C12</f>
        <v>0</v>
      </c>
      <c r="D13" s="1" t="n">
        <f aca="false">D10+D11+D12</f>
        <v>0</v>
      </c>
      <c r="E13" s="1" t="n">
        <f aca="false">E10+E11+E12</f>
        <v>0</v>
      </c>
      <c r="F13" s="1" t="n">
        <f aca="false">F10+F11+F12</f>
        <v>4189.9275</v>
      </c>
      <c r="G13" s="1" t="n">
        <f aca="false">G10+G11+G12</f>
        <v>4189.9275</v>
      </c>
      <c r="H13" s="1" t="n">
        <f aca="false">H10+H11+H12</f>
        <v>4278.1365</v>
      </c>
      <c r="I13" s="1" t="n">
        <f aca="false">I10+I11+I12</f>
        <v>4278.1365</v>
      </c>
      <c r="J13" s="1" t="n">
        <f aca="false">J10+J11+J12</f>
        <v>4368.10968</v>
      </c>
      <c r="K13" s="1" t="n">
        <f aca="false">K10+K11+K12</f>
        <v>4368.10968</v>
      </c>
      <c r="L13" s="1" t="n">
        <f aca="false">L10+L11+L12</f>
        <v>4459.8823236</v>
      </c>
      <c r="M13" s="1" t="n">
        <f aca="false">M10+M11+M12</f>
        <v>4459.8823236</v>
      </c>
      <c r="N13" s="1" t="n">
        <f aca="false">N10+N11+N12</f>
        <v>4553.490420072</v>
      </c>
      <c r="O13" s="1" t="n">
        <f aca="false">O10+O11+O12</f>
        <v>4553.490420072</v>
      </c>
      <c r="P13" s="1" t="n">
        <f aca="false">P10+P11+P12</f>
        <v>4648.97067847344</v>
      </c>
      <c r="Q13" s="1" t="n">
        <f aca="false">Q10+Q11+Q12</f>
        <v>4648.97067847344</v>
      </c>
      <c r="R13" s="1" t="n">
        <f aca="false">R10+R11+R12</f>
        <v>4746.36054204291</v>
      </c>
      <c r="S13" s="1" t="n">
        <f aca="false">S10+S11+S12</f>
        <v>4746.36054204291</v>
      </c>
      <c r="T13" s="1" t="n">
        <f aca="false">T10+T11+T12</f>
        <v>4845.69820288377</v>
      </c>
      <c r="U13" s="1" t="n">
        <f aca="false">U10+U11+U12</f>
        <v>4845.69820288377</v>
      </c>
      <c r="V13" s="1" t="n">
        <f aca="false">V10+V11+V12</f>
        <v>4947.02261694144</v>
      </c>
      <c r="W13" s="1" t="n">
        <f aca="false">W10+W11+W12</f>
        <v>4947.02261694144</v>
      </c>
      <c r="X13" s="1" t="n">
        <f aca="false">X10+X11+X12</f>
        <v>5050.37351928027</v>
      </c>
      <c r="Y13" s="1" t="n">
        <f aca="false">Y10+Y11+Y12</f>
        <v>5050.37351928027</v>
      </c>
      <c r="Z13" s="1" t="n">
        <f aca="false">Z10+Z11+Z12</f>
        <v>5155.79143966588</v>
      </c>
      <c r="AA13" s="1" t="n">
        <f aca="false">AA10+AA11+AA12</f>
        <v>5155.79143966588</v>
      </c>
      <c r="AB13" s="1" t="n">
        <f aca="false">AB10+AB11+AB12</f>
        <v>5263.3177184592</v>
      </c>
      <c r="AC13" s="1" t="n">
        <f aca="false">AC10+AC11+AC12</f>
        <v>5263.3177184592</v>
      </c>
      <c r="AD13" s="1" t="n">
        <f aca="false">AD10+AD11+AD12</f>
        <v>5839.12094139741</v>
      </c>
      <c r="AE13" s="1" t="n">
        <f aca="false">AE10+AE11+AE12</f>
        <v>5839.12094139741</v>
      </c>
      <c r="AF13" s="1" t="n">
        <f aca="false">AF10+AF11+AF12</f>
        <v>5960.31381022536</v>
      </c>
      <c r="AG13" s="1" t="n">
        <f aca="false">AG10+AG11+AG12</f>
        <v>5960.31381022536</v>
      </c>
      <c r="AH13" s="1" t="n">
        <f aca="false">AH10+AH11+AH12</f>
        <v>6083.93053642987</v>
      </c>
      <c r="AI13" s="1" t="n">
        <f aca="false">AI10+AI11+AI12</f>
        <v>6083.93053642987</v>
      </c>
      <c r="AJ13" s="1" t="n">
        <f aca="false">AJ10+AJ11+AJ12</f>
        <v>6210.01959715846</v>
      </c>
      <c r="AK13" s="1" t="n">
        <f aca="false">AK10+AK11+AK12</f>
        <v>6210.01959715846</v>
      </c>
      <c r="AL13" s="1" t="n">
        <f aca="false">AL10+AL11+AL12</f>
        <v>6338.63043910163</v>
      </c>
      <c r="AM13" s="1" t="n">
        <f aca="false">AM10+AM11+AM12</f>
        <v>6338.63043910163</v>
      </c>
      <c r="AN13" s="1" t="n">
        <f aca="false">AN10+AN11+AN12</f>
        <v>6469.81349788367</v>
      </c>
      <c r="AO13" s="1" t="n">
        <f aca="false">AO10+AO11+AO12</f>
        <v>6469.81349788367</v>
      </c>
      <c r="AP13" s="1" t="n">
        <f aca="false">AP10+AP11+AP12</f>
        <v>6603.62021784134</v>
      </c>
      <c r="AQ13" s="1" t="n">
        <f aca="false">AQ10+AQ11+AQ12</f>
        <v>6603.62021784134</v>
      </c>
      <c r="AR13" s="1" t="n">
        <f aca="false">AR10+AR11+AR12</f>
        <v>6740.10307219817</v>
      </c>
      <c r="AS13" s="1" t="n">
        <f aca="false">AS10+AS11+AS12</f>
        <v>6740.10307219817</v>
      </c>
      <c r="AT13" s="1" t="n">
        <f aca="false">AT10+AT11+AT12</f>
        <v>6879.31558364213</v>
      </c>
      <c r="AU13" s="1" t="n">
        <f aca="false">AU10+AU11+AU12</f>
        <v>6879.31558364213</v>
      </c>
      <c r="AV13" s="1" t="n">
        <f aca="false">AV10+AV11+AV12</f>
        <v>7021.31234531497</v>
      </c>
      <c r="AW13" s="1" t="n">
        <f aca="false">AW10+AW11+AW12</f>
        <v>7021.31234531497</v>
      </c>
      <c r="AX13" s="1" t="n">
        <f aca="false">AX10+AX11+AX12</f>
        <v>7166.14904222127</v>
      </c>
      <c r="AY13" s="1" t="n">
        <f aca="false">AY10+AY11+AY12</f>
        <v>7166.14904222127</v>
      </c>
      <c r="AZ13" s="1" t="n">
        <f aca="false">AZ10+AZ11+AZ12</f>
        <v>7313.8824730657</v>
      </c>
      <c r="BA13" s="1" t="n">
        <f aca="false">BA10+BA11+BA12</f>
        <v>7313.8824730657</v>
      </c>
      <c r="BB13" s="1" t="n">
        <f aca="false">BB10+BB11+BB12</f>
        <v>7464.57057252701</v>
      </c>
      <c r="BC13" s="1" t="n">
        <f aca="false">BC10+BC11+BC12</f>
        <v>7464.57057252701</v>
      </c>
    </row>
    <row r="15" customFormat="false" ht="15" hidden="false" customHeight="false" outlineLevel="0" collapsed="false">
      <c r="A15" s="1" t="s">
        <v>147</v>
      </c>
      <c r="C15" s="1" t="n">
        <f aca="false">SUM(C13:BC13)</f>
        <v>285195.726540852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148</v>
      </c>
    </row>
    <row r="3" customFormat="false" ht="15" hidden="false" customHeight="false" outlineLevel="0" collapsed="false">
      <c r="A3" s="0" t="s">
        <v>149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65</v>
      </c>
      <c r="L5" s="1" t="s">
        <v>66</v>
      </c>
      <c r="M5" s="1" t="s">
        <v>67</v>
      </c>
      <c r="N5" s="1" t="s">
        <v>68</v>
      </c>
      <c r="O5" s="1" t="s">
        <v>69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76</v>
      </c>
      <c r="W5" s="1" t="s">
        <v>77</v>
      </c>
      <c r="X5" s="1" t="s">
        <v>78</v>
      </c>
      <c r="Y5" s="1" t="s">
        <v>79</v>
      </c>
      <c r="Z5" s="1" t="s">
        <v>80</v>
      </c>
      <c r="AA5" s="1" t="s">
        <v>81</v>
      </c>
      <c r="AB5" s="1" t="s">
        <v>82</v>
      </c>
      <c r="AC5" s="1" t="s">
        <v>83</v>
      </c>
      <c r="AD5" s="1" t="s">
        <v>84</v>
      </c>
      <c r="AE5" s="1" t="s">
        <v>85</v>
      </c>
      <c r="AF5" s="1" t="s">
        <v>86</v>
      </c>
      <c r="AG5" s="1" t="s">
        <v>87</v>
      </c>
      <c r="AH5" s="1" t="s">
        <v>88</v>
      </c>
      <c r="AI5" s="1" t="s">
        <v>89</v>
      </c>
      <c r="AJ5" s="1" t="s">
        <v>90</v>
      </c>
      <c r="AK5" s="1" t="s">
        <v>91</v>
      </c>
      <c r="AL5" s="1" t="s">
        <v>92</v>
      </c>
      <c r="AM5" s="1" t="s">
        <v>93</v>
      </c>
      <c r="AN5" s="1" t="s">
        <v>94</v>
      </c>
      <c r="AO5" s="1" t="s">
        <v>95</v>
      </c>
      <c r="AP5" s="1" t="s">
        <v>96</v>
      </c>
      <c r="AQ5" s="1" t="s">
        <v>97</v>
      </c>
      <c r="AR5" s="1" t="s">
        <v>98</v>
      </c>
      <c r="AS5" s="1" t="s">
        <v>99</v>
      </c>
      <c r="AT5" s="1" t="s">
        <v>100</v>
      </c>
      <c r="AU5" s="1" t="s">
        <v>101</v>
      </c>
      <c r="AV5" s="1" t="s">
        <v>102</v>
      </c>
      <c r="AW5" s="1" t="s">
        <v>103</v>
      </c>
      <c r="AX5" s="1" t="s">
        <v>104</v>
      </c>
      <c r="AY5" s="1" t="s">
        <v>105</v>
      </c>
      <c r="AZ5" s="1" t="s">
        <v>106</v>
      </c>
      <c r="BA5" s="1" t="s">
        <v>107</v>
      </c>
      <c r="BB5" s="1" t="s">
        <v>108</v>
      </c>
      <c r="BC5" s="1" t="s">
        <v>109</v>
      </c>
    </row>
    <row r="6" customFormat="false" ht="15" hidden="false" customHeight="false" outlineLevel="0" collapsed="false">
      <c r="A6" s="0" t="s">
        <v>129</v>
      </c>
      <c r="C6" s="0" t="s">
        <v>130</v>
      </c>
      <c r="D6" s="0" t="s">
        <v>130</v>
      </c>
      <c r="E6" s="0" t="s">
        <v>130</v>
      </c>
      <c r="F6" s="0" t="n">
        <v>1</v>
      </c>
      <c r="G6" s="0" t="n">
        <v>1</v>
      </c>
      <c r="H6" s="0" t="n">
        <v>2</v>
      </c>
      <c r="I6" s="0" t="n">
        <v>2</v>
      </c>
      <c r="J6" s="0" t="n">
        <v>3</v>
      </c>
      <c r="K6" s="0" t="n">
        <v>3</v>
      </c>
      <c r="L6" s="0" t="n">
        <v>4</v>
      </c>
      <c r="M6" s="0" t="n">
        <v>4</v>
      </c>
      <c r="N6" s="0" t="n">
        <v>5</v>
      </c>
      <c r="O6" s="0" t="n">
        <v>5</v>
      </c>
      <c r="P6" s="0" t="n">
        <v>6</v>
      </c>
      <c r="Q6" s="0" t="n">
        <v>6</v>
      </c>
      <c r="R6" s="0" t="n">
        <v>7</v>
      </c>
      <c r="S6" s="0" t="n">
        <v>7</v>
      </c>
      <c r="T6" s="0" t="n">
        <v>8</v>
      </c>
      <c r="U6" s="0" t="n">
        <v>8</v>
      </c>
      <c r="V6" s="0" t="n">
        <v>9</v>
      </c>
      <c r="W6" s="0" t="n">
        <v>9</v>
      </c>
      <c r="X6" s="0" t="n">
        <v>10</v>
      </c>
      <c r="Y6" s="0" t="n">
        <v>10</v>
      </c>
      <c r="Z6" s="0" t="n">
        <v>11</v>
      </c>
      <c r="AA6" s="0" t="n">
        <v>11</v>
      </c>
      <c r="AB6" s="0" t="n">
        <v>12</v>
      </c>
      <c r="AC6" s="0" t="n">
        <v>12</v>
      </c>
      <c r="AD6" s="0" t="n">
        <v>13</v>
      </c>
      <c r="AE6" s="0" t="n">
        <v>13</v>
      </c>
      <c r="AF6" s="0" t="n">
        <v>14</v>
      </c>
      <c r="AG6" s="0" t="n">
        <v>14</v>
      </c>
      <c r="AH6" s="0" t="n">
        <v>15</v>
      </c>
      <c r="AI6" s="0" t="n">
        <v>15</v>
      </c>
      <c r="AJ6" s="0" t="n">
        <v>16</v>
      </c>
      <c r="AK6" s="0" t="n">
        <v>16</v>
      </c>
      <c r="AL6" s="0" t="n">
        <v>17</v>
      </c>
      <c r="AM6" s="0" t="n">
        <v>17</v>
      </c>
      <c r="AN6" s="0" t="n">
        <v>18</v>
      </c>
      <c r="AO6" s="0" t="n">
        <v>18</v>
      </c>
      <c r="AP6" s="0" t="n">
        <v>19</v>
      </c>
      <c r="AQ6" s="0" t="n">
        <v>19</v>
      </c>
      <c r="AR6" s="0" t="n">
        <v>20</v>
      </c>
      <c r="AS6" s="0" t="n">
        <v>20</v>
      </c>
      <c r="AT6" s="0" t="n">
        <v>21</v>
      </c>
      <c r="AU6" s="0" t="n">
        <v>21</v>
      </c>
      <c r="AV6" s="0" t="n">
        <v>22</v>
      </c>
      <c r="AW6" s="0" t="n">
        <v>22</v>
      </c>
      <c r="AX6" s="0" t="n">
        <v>23</v>
      </c>
      <c r="AY6" s="0" t="n">
        <v>23</v>
      </c>
      <c r="AZ6" s="0" t="n">
        <v>24</v>
      </c>
      <c r="BA6" s="0" t="n">
        <v>24</v>
      </c>
      <c r="BB6" s="0" t="n">
        <v>25</v>
      </c>
      <c r="BC6" s="0" t="n">
        <v>25</v>
      </c>
    </row>
    <row r="8" customFormat="false" ht="15" hidden="false" customHeight="false" outlineLevel="0" collapsed="false">
      <c r="A8" s="0" t="s">
        <v>150</v>
      </c>
      <c r="C8" s="0" t="n">
        <f aca="false">Revenue!C13-OpEx!C10</f>
        <v>0</v>
      </c>
      <c r="D8" s="0" t="n">
        <f aca="false">Revenue!D13-OpEx!D10</f>
        <v>0</v>
      </c>
      <c r="E8" s="0" t="n">
        <f aca="false">Revenue!E13-OpEx!E10</f>
        <v>0</v>
      </c>
      <c r="F8" s="0" t="n">
        <f aca="false">Revenue!F13-OpEx!F10</f>
        <v>3914.9275</v>
      </c>
      <c r="G8" s="0" t="n">
        <f aca="false">Revenue!G13-OpEx!G10</f>
        <v>3914.9275</v>
      </c>
      <c r="H8" s="0" t="n">
        <f aca="false">Revenue!H13-OpEx!H10</f>
        <v>3997.6365</v>
      </c>
      <c r="I8" s="0" t="n">
        <f aca="false">Revenue!I13-OpEx!I10</f>
        <v>3997.6365</v>
      </c>
      <c r="J8" s="0" t="n">
        <f aca="false">Revenue!J13-OpEx!J10</f>
        <v>4081.99968</v>
      </c>
      <c r="K8" s="0" t="n">
        <f aca="false">Revenue!K13-OpEx!K10</f>
        <v>4081.99968</v>
      </c>
      <c r="L8" s="0" t="n">
        <f aca="false">Revenue!L13-OpEx!L10</f>
        <v>4168.0501236</v>
      </c>
      <c r="M8" s="0" t="n">
        <f aca="false">Revenue!M13-OpEx!M10</f>
        <v>4168.0501236</v>
      </c>
      <c r="N8" s="0" t="n">
        <f aca="false">Revenue!N13-OpEx!N10</f>
        <v>4255.821576072</v>
      </c>
      <c r="O8" s="0" t="n">
        <f aca="false">Revenue!O13-OpEx!O10</f>
        <v>4255.821576072</v>
      </c>
      <c r="P8" s="0" t="n">
        <f aca="false">Revenue!P13-OpEx!P10</f>
        <v>4345.34845759344</v>
      </c>
      <c r="Q8" s="0" t="n">
        <f aca="false">Revenue!Q13-OpEx!Q10</f>
        <v>4345.34845759344</v>
      </c>
      <c r="R8" s="0" t="n">
        <f aca="false">Revenue!R13-OpEx!R10</f>
        <v>4436.66587674531</v>
      </c>
      <c r="S8" s="0" t="n">
        <f aca="false">Revenue!S13-OpEx!S10</f>
        <v>4436.66587674531</v>
      </c>
      <c r="T8" s="0" t="n">
        <f aca="false">Revenue!T13-OpEx!T10</f>
        <v>4529.80964428022</v>
      </c>
      <c r="U8" s="0" t="n">
        <f aca="false">Revenue!U13-OpEx!U10</f>
        <v>4529.80964428022</v>
      </c>
      <c r="V8" s="0" t="n">
        <f aca="false">Revenue!V13-OpEx!V10</f>
        <v>4624.81628716582</v>
      </c>
      <c r="W8" s="0" t="n">
        <f aca="false">Revenue!W13-OpEx!W10</f>
        <v>4624.81628716582</v>
      </c>
      <c r="X8" s="0" t="n">
        <f aca="false">Revenue!X13-OpEx!X10</f>
        <v>4721.72306290914</v>
      </c>
      <c r="Y8" s="0" t="n">
        <f aca="false">Revenue!Y13-OpEx!Y10</f>
        <v>4721.72306290914</v>
      </c>
      <c r="Z8" s="0" t="n">
        <f aca="false">Revenue!Z13-OpEx!Z10</f>
        <v>4820.56797416732</v>
      </c>
      <c r="AA8" s="0" t="n">
        <f aca="false">Revenue!AA13-OpEx!AA10</f>
        <v>4820.56797416732</v>
      </c>
      <c r="AB8" s="0" t="n">
        <f aca="false">Revenue!AB13-OpEx!AB10</f>
        <v>4921.38978365067</v>
      </c>
      <c r="AC8" s="0" t="n">
        <f aca="false">Revenue!AC13-OpEx!AC10</f>
        <v>4921.38978365067</v>
      </c>
      <c r="AD8" s="0" t="n">
        <f aca="false">Revenue!AD13-OpEx!AD10</f>
        <v>5490.35444789271</v>
      </c>
      <c r="AE8" s="0" t="n">
        <f aca="false">Revenue!AE13-OpEx!AE10</f>
        <v>5490.35444789271</v>
      </c>
      <c r="AF8" s="0" t="n">
        <f aca="false">Revenue!AF13-OpEx!AF10</f>
        <v>5604.57198685056</v>
      </c>
      <c r="AG8" s="0" t="n">
        <f aca="false">Revenue!AG13-OpEx!AG10</f>
        <v>5604.57198685056</v>
      </c>
      <c r="AH8" s="0" t="n">
        <f aca="false">Revenue!AH13-OpEx!AH10</f>
        <v>5721.07387658758</v>
      </c>
      <c r="AI8" s="0" t="n">
        <f aca="false">Revenue!AI13-OpEx!AI10</f>
        <v>5721.07387658758</v>
      </c>
      <c r="AJ8" s="0" t="n">
        <f aca="false">Revenue!AJ13-OpEx!AJ10</f>
        <v>5839.90580411933</v>
      </c>
      <c r="AK8" s="0" t="n">
        <f aca="false">Revenue!AK13-OpEx!AK10</f>
        <v>5839.90580411933</v>
      </c>
      <c r="AL8" s="0" t="n">
        <f aca="false">Revenue!AL13-OpEx!AL10</f>
        <v>5961.11437020171</v>
      </c>
      <c r="AM8" s="0" t="n">
        <f aca="false">Revenue!AM13-OpEx!AM10</f>
        <v>5961.11437020171</v>
      </c>
      <c r="AN8" s="0" t="n">
        <f aca="false">Revenue!AN13-OpEx!AN10</f>
        <v>6084.74710760575</v>
      </c>
      <c r="AO8" s="0" t="n">
        <f aca="false">Revenue!AO13-OpEx!AO10</f>
        <v>6084.74710760575</v>
      </c>
      <c r="AP8" s="0" t="n">
        <f aca="false">Revenue!AP13-OpEx!AP10</f>
        <v>6210.85249975787</v>
      </c>
      <c r="AQ8" s="0" t="n">
        <f aca="false">Revenue!AQ13-OpEx!AQ10</f>
        <v>6210.85249975787</v>
      </c>
      <c r="AR8" s="0" t="n">
        <f aca="false">Revenue!AR13-OpEx!AR10</f>
        <v>6339.47999975302</v>
      </c>
      <c r="AS8" s="0" t="n">
        <f aca="false">Revenue!AS13-OpEx!AS10</f>
        <v>6339.47999975302</v>
      </c>
      <c r="AT8" s="0" t="n">
        <f aca="false">Revenue!AT13-OpEx!AT10</f>
        <v>6470.68004974808</v>
      </c>
      <c r="AU8" s="0" t="n">
        <f aca="false">Revenue!AU13-OpEx!AU10</f>
        <v>6470.68004974808</v>
      </c>
      <c r="AV8" s="0" t="n">
        <f aca="false">Revenue!AV13-OpEx!AV10</f>
        <v>6604.50410074305</v>
      </c>
      <c r="AW8" s="0" t="n">
        <f aca="false">Revenue!AW13-OpEx!AW10</f>
        <v>6604.50410074305</v>
      </c>
      <c r="AX8" s="0" t="n">
        <f aca="false">Revenue!AX13-OpEx!AX10</f>
        <v>6741.0046327579</v>
      </c>
      <c r="AY8" s="0" t="n">
        <f aca="false">Revenue!AY13-OpEx!AY10</f>
        <v>6741.0046327579</v>
      </c>
      <c r="AZ8" s="0" t="n">
        <f aca="false">Revenue!AZ13-OpEx!AZ10</f>
        <v>6880.23517541306</v>
      </c>
      <c r="BA8" s="0" t="n">
        <f aca="false">Revenue!BA13-OpEx!BA10</f>
        <v>6880.23517541306</v>
      </c>
      <c r="BB8" s="0" t="n">
        <f aca="false">Revenue!BB13-OpEx!BB10</f>
        <v>7022.25032892132</v>
      </c>
      <c r="BC8" s="0" t="n">
        <f aca="false">Revenue!BC13-OpEx!BC10</f>
        <v>7022.25032892132</v>
      </c>
    </row>
    <row r="9" customFormat="false" ht="15" hidden="false" customHeight="false" outlineLevel="0" collapsed="false">
      <c r="A9" s="0" t="s">
        <v>151</v>
      </c>
      <c r="C9" s="0" t="n">
        <v>0</v>
      </c>
      <c r="D9" s="0" t="n">
        <v>0</v>
      </c>
      <c r="E9" s="0" t="n">
        <v>0</v>
      </c>
      <c r="F9" s="0" t="n">
        <f aca="false">CapEx!$BE$10/Inputs!$C$37/2</f>
        <v>1075</v>
      </c>
      <c r="G9" s="0" t="n">
        <f aca="false">CapEx!$BE$10/Inputs!$C$37/2</f>
        <v>1075</v>
      </c>
      <c r="H9" s="0" t="n">
        <f aca="false">CapEx!$BE$10/Inputs!$C$37/2</f>
        <v>1075</v>
      </c>
      <c r="I9" s="0" t="n">
        <f aca="false">CapEx!$BE$10/Inputs!$C$37/2</f>
        <v>1075</v>
      </c>
      <c r="J9" s="0" t="n">
        <f aca="false">CapEx!$BE$10/Inputs!$C$37/2</f>
        <v>1075</v>
      </c>
      <c r="K9" s="0" t="n">
        <f aca="false">CapEx!$BE$10/Inputs!$C$37/2</f>
        <v>1075</v>
      </c>
      <c r="L9" s="0" t="n">
        <f aca="false">CapEx!$BE$10/Inputs!$C$37/2</f>
        <v>1075</v>
      </c>
      <c r="M9" s="0" t="n">
        <f aca="false">CapEx!$BE$10/Inputs!$C$37/2</f>
        <v>1075</v>
      </c>
      <c r="N9" s="0" t="n">
        <f aca="false">CapEx!$BE$10/Inputs!$C$37/2</f>
        <v>1075</v>
      </c>
      <c r="O9" s="0" t="n">
        <f aca="false">CapEx!$BE$10/Inputs!$C$37/2</f>
        <v>1075</v>
      </c>
      <c r="P9" s="0" t="n">
        <f aca="false">CapEx!$BE$10/Inputs!$C$37/2</f>
        <v>1075</v>
      </c>
      <c r="Q9" s="0" t="n">
        <f aca="false">CapEx!$BE$10/Inputs!$C$37/2</f>
        <v>1075</v>
      </c>
      <c r="R9" s="0" t="n">
        <f aca="false">CapEx!$BE$10/Inputs!$C$37/2</f>
        <v>1075</v>
      </c>
      <c r="S9" s="0" t="n">
        <f aca="false">CapEx!$BE$10/Inputs!$C$37/2</f>
        <v>1075</v>
      </c>
      <c r="T9" s="0" t="n">
        <f aca="false">CapEx!$BE$10/Inputs!$C$37/2</f>
        <v>1075</v>
      </c>
      <c r="U9" s="0" t="n">
        <f aca="false">CapEx!$BE$10/Inputs!$C$37/2</f>
        <v>1075</v>
      </c>
      <c r="V9" s="0" t="n">
        <f aca="false">CapEx!$BE$10/Inputs!$C$37/2</f>
        <v>1075</v>
      </c>
      <c r="W9" s="0" t="n">
        <f aca="false">CapEx!$BE$10/Inputs!$C$37/2</f>
        <v>1075</v>
      </c>
      <c r="X9" s="0" t="n">
        <f aca="false">CapEx!$BE$10/Inputs!$C$37/2</f>
        <v>1075</v>
      </c>
      <c r="Y9" s="0" t="n">
        <f aca="false">CapEx!$BE$10/Inputs!$C$37/2</f>
        <v>1075</v>
      </c>
      <c r="Z9" s="0" t="n">
        <f aca="false">CapEx!$BE$10/Inputs!$C$37/2</f>
        <v>1075</v>
      </c>
      <c r="AA9" s="0" t="n">
        <f aca="false">CapEx!$BE$10/Inputs!$C$37/2</f>
        <v>1075</v>
      </c>
      <c r="AB9" s="0" t="n">
        <f aca="false">CapEx!$BE$10/Inputs!$C$37/2</f>
        <v>1075</v>
      </c>
      <c r="AC9" s="0" t="n">
        <f aca="false">CapEx!$BE$10/Inputs!$C$37/2</f>
        <v>1075</v>
      </c>
      <c r="AD9" s="0" t="n">
        <f aca="false">CapEx!$BE$10/Inputs!$C$37/2</f>
        <v>1075</v>
      </c>
      <c r="AE9" s="0" t="n">
        <f aca="false">CapEx!$BE$10/Inputs!$C$37/2</f>
        <v>1075</v>
      </c>
      <c r="AF9" s="0" t="n">
        <f aca="false">CapEx!$BE$10/Inputs!$C$37/2</f>
        <v>1075</v>
      </c>
      <c r="AG9" s="0" t="n">
        <f aca="false">CapEx!$BE$10/Inputs!$C$37/2</f>
        <v>1075</v>
      </c>
      <c r="AH9" s="0" t="n">
        <f aca="false">CapEx!$BE$10/Inputs!$C$37/2</f>
        <v>1075</v>
      </c>
      <c r="AI9" s="0" t="n">
        <f aca="false">CapEx!$BE$10/Inputs!$C$37/2</f>
        <v>1075</v>
      </c>
      <c r="AJ9" s="0" t="n">
        <f aca="false">CapEx!$BE$10/Inputs!$C$37/2</f>
        <v>1075</v>
      </c>
      <c r="AK9" s="0" t="n">
        <f aca="false">CapEx!$BE$10/Inputs!$C$37/2</f>
        <v>1075</v>
      </c>
      <c r="AL9" s="0" t="n">
        <f aca="false">CapEx!$BE$10/Inputs!$C$37/2</f>
        <v>1075</v>
      </c>
      <c r="AM9" s="0" t="n">
        <f aca="false">CapEx!$BE$10/Inputs!$C$37/2</f>
        <v>1075</v>
      </c>
      <c r="AN9" s="0" t="n">
        <f aca="false">CapEx!$BE$10/Inputs!$C$37/2</f>
        <v>1075</v>
      </c>
      <c r="AO9" s="0" t="n">
        <f aca="false">CapEx!$BE$10/Inputs!$C$37/2</f>
        <v>1075</v>
      </c>
      <c r="AP9" s="0" t="n">
        <f aca="false">CapEx!$BE$10/Inputs!$C$37/2</f>
        <v>1075</v>
      </c>
      <c r="AQ9" s="0" t="n">
        <f aca="false">CapEx!$BE$10/Inputs!$C$37/2</f>
        <v>1075</v>
      </c>
      <c r="AR9" s="0" t="n">
        <f aca="false">CapEx!$BE$10/Inputs!$C$37/2</f>
        <v>1075</v>
      </c>
      <c r="AS9" s="0" t="n">
        <f aca="false">CapEx!$BE$10/Inputs!$C$37/2</f>
        <v>1075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0</v>
      </c>
    </row>
    <row r="10" customFormat="false" ht="15" hidden="false" customHeight="false" outlineLevel="0" collapsed="false">
      <c r="A10" s="0" t="s">
        <v>152</v>
      </c>
      <c r="C10" s="0" t="n">
        <f aca="false">MAX(0,C8-C9)*Inputs!$C$33</f>
        <v>0</v>
      </c>
      <c r="D10" s="0" t="n">
        <f aca="false">MAX(0,D8-D9)*Inputs!$C$33</f>
        <v>0</v>
      </c>
      <c r="E10" s="0" t="n">
        <f aca="false">MAX(0,E8-E9)*Inputs!$C$33</f>
        <v>0</v>
      </c>
      <c r="F10" s="0" t="n">
        <f aca="false">MAX(0,F8-F9)*Inputs!$C$33</f>
        <v>709.981875</v>
      </c>
      <c r="G10" s="0" t="n">
        <f aca="false">MAX(0,G8-G9)*Inputs!$C$33</f>
        <v>709.981875</v>
      </c>
      <c r="H10" s="0" t="n">
        <f aca="false">MAX(0,H8-H9)*Inputs!$C$33</f>
        <v>730.659125</v>
      </c>
      <c r="I10" s="0" t="n">
        <f aca="false">MAX(0,I8-I9)*Inputs!$C$33</f>
        <v>730.659125</v>
      </c>
      <c r="J10" s="0" t="n">
        <f aca="false">MAX(0,J8-J9)*Inputs!$C$33</f>
        <v>751.74992</v>
      </c>
      <c r="K10" s="0" t="n">
        <f aca="false">MAX(0,K8-K9)*Inputs!$C$33</f>
        <v>751.74992</v>
      </c>
      <c r="L10" s="0" t="n">
        <f aca="false">MAX(0,L8-L9)*Inputs!$C$33</f>
        <v>773.2625309</v>
      </c>
      <c r="M10" s="0" t="n">
        <f aca="false">MAX(0,M8-M9)*Inputs!$C$33</f>
        <v>773.2625309</v>
      </c>
      <c r="N10" s="0" t="n">
        <f aca="false">MAX(0,N8-N9)*Inputs!$C$33</f>
        <v>795.205394018</v>
      </c>
      <c r="O10" s="0" t="n">
        <f aca="false">MAX(0,O8-O9)*Inputs!$C$33</f>
        <v>795.205394018</v>
      </c>
      <c r="P10" s="0" t="n">
        <f aca="false">MAX(0,P8-P9)*Inputs!$C$33</f>
        <v>817.58711439836</v>
      </c>
      <c r="Q10" s="0" t="n">
        <f aca="false">MAX(0,Q8-Q9)*Inputs!$C$33</f>
        <v>817.58711439836</v>
      </c>
      <c r="R10" s="0" t="n">
        <f aca="false">MAX(0,R8-R9)*Inputs!$C$33</f>
        <v>840.416469186328</v>
      </c>
      <c r="S10" s="0" t="n">
        <f aca="false">MAX(0,S8-S9)*Inputs!$C$33</f>
        <v>840.416469186328</v>
      </c>
      <c r="T10" s="0" t="n">
        <f aca="false">MAX(0,T8-T9)*Inputs!$C$33</f>
        <v>863.702411070054</v>
      </c>
      <c r="U10" s="0" t="n">
        <f aca="false">MAX(0,U8-U9)*Inputs!$C$33</f>
        <v>863.702411070054</v>
      </c>
      <c r="V10" s="0" t="n">
        <f aca="false">MAX(0,V8-V9)*Inputs!$C$33</f>
        <v>887.454071791455</v>
      </c>
      <c r="W10" s="0" t="n">
        <f aca="false">MAX(0,W8-W9)*Inputs!$C$33</f>
        <v>887.454071791455</v>
      </c>
      <c r="X10" s="0" t="n">
        <f aca="false">MAX(0,X8-X9)*Inputs!$C$33</f>
        <v>911.680765727284</v>
      </c>
      <c r="Y10" s="0" t="n">
        <f aca="false">MAX(0,Y8-Y9)*Inputs!$C$33</f>
        <v>911.680765727284</v>
      </c>
      <c r="Z10" s="0" t="n">
        <f aca="false">MAX(0,Z8-Z9)*Inputs!$C$33</f>
        <v>936.39199354183</v>
      </c>
      <c r="AA10" s="0" t="n">
        <f aca="false">MAX(0,AA8-AA9)*Inputs!$C$33</f>
        <v>936.39199354183</v>
      </c>
      <c r="AB10" s="0" t="n">
        <f aca="false">MAX(0,AB8-AB9)*Inputs!$C$33</f>
        <v>961.597445912666</v>
      </c>
      <c r="AC10" s="0" t="n">
        <f aca="false">MAX(0,AC8-AC9)*Inputs!$C$33</f>
        <v>961.597445912666</v>
      </c>
      <c r="AD10" s="0" t="n">
        <f aca="false">MAX(0,AD8-AD9)*Inputs!$C$33</f>
        <v>1103.83861197318</v>
      </c>
      <c r="AE10" s="0" t="n">
        <f aca="false">MAX(0,AE8-AE9)*Inputs!$C$33</f>
        <v>1103.83861197318</v>
      </c>
      <c r="AF10" s="0" t="n">
        <f aca="false">MAX(0,AF8-AF9)*Inputs!$C$33</f>
        <v>1132.39299671264</v>
      </c>
      <c r="AG10" s="0" t="n">
        <f aca="false">MAX(0,AG8-AG9)*Inputs!$C$33</f>
        <v>1132.39299671264</v>
      </c>
      <c r="AH10" s="0" t="n">
        <f aca="false">MAX(0,AH8-AH9)*Inputs!$C$33</f>
        <v>1161.51846914689</v>
      </c>
      <c r="AI10" s="0" t="n">
        <f aca="false">MAX(0,AI8-AI9)*Inputs!$C$33</f>
        <v>1161.51846914689</v>
      </c>
      <c r="AJ10" s="0" t="n">
        <f aca="false">MAX(0,AJ8-AJ9)*Inputs!$C$33</f>
        <v>1191.22645102983</v>
      </c>
      <c r="AK10" s="0" t="n">
        <f aca="false">MAX(0,AK8-AK9)*Inputs!$C$33</f>
        <v>1191.22645102983</v>
      </c>
      <c r="AL10" s="0" t="n">
        <f aca="false">MAX(0,AL8-AL9)*Inputs!$C$33</f>
        <v>1221.52859255043</v>
      </c>
      <c r="AM10" s="0" t="n">
        <f aca="false">MAX(0,AM8-AM9)*Inputs!$C$33</f>
        <v>1221.52859255043</v>
      </c>
      <c r="AN10" s="0" t="n">
        <f aca="false">MAX(0,AN8-AN9)*Inputs!$C$33</f>
        <v>1252.43677690144</v>
      </c>
      <c r="AO10" s="0" t="n">
        <f aca="false">MAX(0,AO8-AO9)*Inputs!$C$33</f>
        <v>1252.43677690144</v>
      </c>
      <c r="AP10" s="0" t="n">
        <f aca="false">MAX(0,AP8-AP9)*Inputs!$C$33</f>
        <v>1283.96312493947</v>
      </c>
      <c r="AQ10" s="0" t="n">
        <f aca="false">MAX(0,AQ8-AQ9)*Inputs!$C$33</f>
        <v>1283.96312493947</v>
      </c>
      <c r="AR10" s="0" t="n">
        <f aca="false">MAX(0,AR8-AR9)*Inputs!$C$33</f>
        <v>1316.11999993826</v>
      </c>
      <c r="AS10" s="0" t="n">
        <f aca="false">MAX(0,AS8-AS9)*Inputs!$C$33</f>
        <v>1316.11999993826</v>
      </c>
      <c r="AT10" s="0" t="n">
        <f aca="false">MAX(0,AT8-AT9)*Inputs!$C$33</f>
        <v>1617.67001243702</v>
      </c>
      <c r="AU10" s="0" t="n">
        <f aca="false">MAX(0,AU8-AU9)*Inputs!$C$33</f>
        <v>1617.67001243702</v>
      </c>
      <c r="AV10" s="0" t="n">
        <f aca="false">MAX(0,AV8-AV9)*Inputs!$C$33</f>
        <v>1651.12602518576</v>
      </c>
      <c r="AW10" s="0" t="n">
        <f aca="false">MAX(0,AW8-AW9)*Inputs!$C$33</f>
        <v>1651.12602518576</v>
      </c>
      <c r="AX10" s="0" t="n">
        <f aca="false">MAX(0,AX8-AX9)*Inputs!$C$33</f>
        <v>1685.25115818948</v>
      </c>
      <c r="AY10" s="0" t="n">
        <f aca="false">MAX(0,AY8-AY9)*Inputs!$C$33</f>
        <v>1685.25115818948</v>
      </c>
      <c r="AZ10" s="0" t="n">
        <f aca="false">MAX(0,AZ8-AZ9)*Inputs!$C$33</f>
        <v>1720.05879385327</v>
      </c>
      <c r="BA10" s="0" t="n">
        <f aca="false">MAX(0,BA8-BA9)*Inputs!$C$33</f>
        <v>1720.05879385327</v>
      </c>
      <c r="BB10" s="0" t="n">
        <f aca="false">MAX(0,BB8-BB9)*Inputs!$C$33</f>
        <v>1755.56258223033</v>
      </c>
      <c r="BC10" s="0" t="n">
        <f aca="false">MAX(0,BC8-BC9)*Inputs!$C$33</f>
        <v>1755.56258223033</v>
      </c>
    </row>
    <row r="11" customFormat="false" ht="15" hidden="false" customHeight="false" outlineLevel="0" collapsed="false">
      <c r="A11" s="0" t="s">
        <v>153</v>
      </c>
      <c r="C11" s="0" t="n">
        <f aca="false">C8-C10</f>
        <v>0</v>
      </c>
      <c r="D11" s="0" t="n">
        <f aca="false">D8-D10</f>
        <v>0</v>
      </c>
      <c r="E11" s="0" t="n">
        <f aca="false">E8-E10</f>
        <v>0</v>
      </c>
      <c r="F11" s="0" t="n">
        <f aca="false">F8-F10</f>
        <v>3204.945625</v>
      </c>
      <c r="G11" s="0" t="n">
        <f aca="false">G8-G10</f>
        <v>3204.945625</v>
      </c>
      <c r="H11" s="0" t="n">
        <f aca="false">H8-H10</f>
        <v>3266.977375</v>
      </c>
      <c r="I11" s="0" t="n">
        <f aca="false">I8-I10</f>
        <v>3266.977375</v>
      </c>
      <c r="J11" s="0" t="n">
        <f aca="false">J8-J10</f>
        <v>3330.24976</v>
      </c>
      <c r="K11" s="0" t="n">
        <f aca="false">K8-K10</f>
        <v>3330.24976</v>
      </c>
      <c r="L11" s="0" t="n">
        <f aca="false">L8-L10</f>
        <v>3394.7875927</v>
      </c>
      <c r="M11" s="0" t="n">
        <f aca="false">M8-M10</f>
        <v>3394.7875927</v>
      </c>
      <c r="N11" s="0" t="n">
        <f aca="false">N8-N10</f>
        <v>3460.616182054</v>
      </c>
      <c r="O11" s="0" t="n">
        <f aca="false">O8-O10</f>
        <v>3460.616182054</v>
      </c>
      <c r="P11" s="0" t="n">
        <f aca="false">P8-P10</f>
        <v>3527.76134319508</v>
      </c>
      <c r="Q11" s="0" t="n">
        <f aca="false">Q8-Q10</f>
        <v>3527.76134319508</v>
      </c>
      <c r="R11" s="0" t="n">
        <f aca="false">R8-R10</f>
        <v>3596.24940755898</v>
      </c>
      <c r="S11" s="0" t="n">
        <f aca="false">S8-S10</f>
        <v>3596.24940755898</v>
      </c>
      <c r="T11" s="0" t="n">
        <f aca="false">T8-T10</f>
        <v>3666.10723321016</v>
      </c>
      <c r="U11" s="0" t="n">
        <f aca="false">U8-U10</f>
        <v>3666.10723321016</v>
      </c>
      <c r="V11" s="0" t="n">
        <f aca="false">V8-V10</f>
        <v>3737.36221537437</v>
      </c>
      <c r="W11" s="0" t="n">
        <f aca="false">W8-W10</f>
        <v>3737.36221537437</v>
      </c>
      <c r="X11" s="0" t="n">
        <f aca="false">X8-X10</f>
        <v>3810.04229718185</v>
      </c>
      <c r="Y11" s="0" t="n">
        <f aca="false">Y8-Y10</f>
        <v>3810.04229718185</v>
      </c>
      <c r="Z11" s="0" t="n">
        <f aca="false">Z8-Z10</f>
        <v>3884.17598062549</v>
      </c>
      <c r="AA11" s="0" t="n">
        <f aca="false">AA8-AA10</f>
        <v>3884.17598062549</v>
      </c>
      <c r="AB11" s="0" t="n">
        <f aca="false">AB8-AB10</f>
        <v>3959.792337738</v>
      </c>
      <c r="AC11" s="0" t="n">
        <f aca="false">AC8-AC10</f>
        <v>3959.792337738</v>
      </c>
      <c r="AD11" s="0" t="n">
        <f aca="false">AD8-AD10</f>
        <v>4386.51583591953</v>
      </c>
      <c r="AE11" s="0" t="n">
        <f aca="false">AE8-AE10</f>
        <v>4386.51583591953</v>
      </c>
      <c r="AF11" s="0" t="n">
        <f aca="false">AF8-AF10</f>
        <v>4472.17899013792</v>
      </c>
      <c r="AG11" s="0" t="n">
        <f aca="false">AG8-AG10</f>
        <v>4472.17899013792</v>
      </c>
      <c r="AH11" s="0" t="n">
        <f aca="false">AH8-AH10</f>
        <v>4559.55540744068</v>
      </c>
      <c r="AI11" s="0" t="n">
        <f aca="false">AI8-AI10</f>
        <v>4559.55540744068</v>
      </c>
      <c r="AJ11" s="0" t="n">
        <f aca="false">AJ8-AJ10</f>
        <v>4648.6793530895</v>
      </c>
      <c r="AK11" s="0" t="n">
        <f aca="false">AK8-AK10</f>
        <v>4648.6793530895</v>
      </c>
      <c r="AL11" s="0" t="n">
        <f aca="false">AL8-AL10</f>
        <v>4739.58577765129</v>
      </c>
      <c r="AM11" s="0" t="n">
        <f aca="false">AM8-AM10</f>
        <v>4739.58577765129</v>
      </c>
      <c r="AN11" s="0" t="n">
        <f aca="false">AN8-AN10</f>
        <v>4832.31033070431</v>
      </c>
      <c r="AO11" s="0" t="n">
        <f aca="false">AO8-AO10</f>
        <v>4832.31033070431</v>
      </c>
      <c r="AP11" s="0" t="n">
        <f aca="false">AP8-AP10</f>
        <v>4926.8893748184</v>
      </c>
      <c r="AQ11" s="0" t="n">
        <f aca="false">AQ8-AQ10</f>
        <v>4926.8893748184</v>
      </c>
      <c r="AR11" s="0" t="n">
        <f aca="false">AR8-AR10</f>
        <v>5023.35999981477</v>
      </c>
      <c r="AS11" s="0" t="n">
        <f aca="false">AS8-AS10</f>
        <v>5023.35999981477</v>
      </c>
      <c r="AT11" s="0" t="n">
        <f aca="false">AT8-AT10</f>
        <v>4853.01003731106</v>
      </c>
      <c r="AU11" s="0" t="n">
        <f aca="false">AU8-AU10</f>
        <v>4853.01003731106</v>
      </c>
      <c r="AV11" s="0" t="n">
        <f aca="false">AV8-AV10</f>
        <v>4953.37807555728</v>
      </c>
      <c r="AW11" s="0" t="n">
        <f aca="false">AW8-AW10</f>
        <v>4953.37807555728</v>
      </c>
      <c r="AX11" s="0" t="n">
        <f aca="false">AX8-AX10</f>
        <v>5055.75347456843</v>
      </c>
      <c r="AY11" s="0" t="n">
        <f aca="false">AY8-AY10</f>
        <v>5055.75347456843</v>
      </c>
      <c r="AZ11" s="0" t="n">
        <f aca="false">AZ8-AZ10</f>
        <v>5160.1763815598</v>
      </c>
      <c r="BA11" s="0" t="n">
        <f aca="false">BA8-BA10</f>
        <v>5160.1763815598</v>
      </c>
      <c r="BB11" s="0" t="n">
        <f aca="false">BB8-BB10</f>
        <v>5266.68774669099</v>
      </c>
      <c r="BC11" s="0" t="n">
        <f aca="false">BC8-BC10</f>
        <v>5266.68774669099</v>
      </c>
    </row>
    <row r="13" customFormat="false" ht="15" hidden="false" customHeight="false" outlineLevel="0" collapsed="false">
      <c r="A13" s="0" t="s">
        <v>154</v>
      </c>
      <c r="C13" s="0" t="n">
        <v>0</v>
      </c>
      <c r="D13" s="0" t="n">
        <v>0</v>
      </c>
      <c r="E13" s="0" t="n">
        <v>0</v>
      </c>
      <c r="F13" s="0" t="n">
        <f aca="false">F11/Inputs!$C$32</f>
        <v>2670.78802083333</v>
      </c>
      <c r="G13" s="0" t="n">
        <f aca="false">G11/Inputs!$C$32</f>
        <v>2670.78802083333</v>
      </c>
      <c r="H13" s="0" t="n">
        <f aca="false">H11/Inputs!$C$32</f>
        <v>2722.48114583333</v>
      </c>
      <c r="I13" s="0" t="n">
        <f aca="false">I11/Inputs!$C$32</f>
        <v>2722.48114583333</v>
      </c>
      <c r="J13" s="0" t="n">
        <f aca="false">J11/Inputs!$C$32</f>
        <v>2775.20813333333</v>
      </c>
      <c r="K13" s="0" t="n">
        <f aca="false">K11/Inputs!$C$32</f>
        <v>2775.20813333333</v>
      </c>
      <c r="L13" s="0" t="n">
        <f aca="false">L11/Inputs!$C$32</f>
        <v>2828.98966058333</v>
      </c>
      <c r="M13" s="0" t="n">
        <f aca="false">M11/Inputs!$C$32</f>
        <v>2828.98966058333</v>
      </c>
      <c r="N13" s="0" t="n">
        <f aca="false">N11/Inputs!$C$32</f>
        <v>2883.84681837833</v>
      </c>
      <c r="O13" s="0" t="n">
        <f aca="false">O11/Inputs!$C$32</f>
        <v>2883.84681837833</v>
      </c>
      <c r="P13" s="0" t="n">
        <f aca="false">P11/Inputs!$C$32</f>
        <v>2939.80111932923</v>
      </c>
      <c r="Q13" s="0" t="n">
        <f aca="false">Q11/Inputs!$C$32</f>
        <v>2939.80111932923</v>
      </c>
      <c r="R13" s="0" t="n">
        <f aca="false">R11/Inputs!$C$32</f>
        <v>2996.87450629915</v>
      </c>
      <c r="S13" s="0" t="n">
        <f aca="false">S11/Inputs!$C$32</f>
        <v>2996.87450629915</v>
      </c>
      <c r="T13" s="0" t="n">
        <f aca="false">T11/Inputs!$C$32</f>
        <v>3055.08936100847</v>
      </c>
      <c r="U13" s="0" t="n">
        <f aca="false">U11/Inputs!$C$32</f>
        <v>3055.08936100847</v>
      </c>
      <c r="V13" s="0" t="n">
        <f aca="false">V11/Inputs!$C$32</f>
        <v>3114.46851281197</v>
      </c>
      <c r="W13" s="0" t="n">
        <f aca="false">W11/Inputs!$C$32</f>
        <v>3114.46851281197</v>
      </c>
      <c r="X13" s="0" t="n">
        <f aca="false">X11/Inputs!$C$32</f>
        <v>3175.03524765154</v>
      </c>
      <c r="Y13" s="0" t="n">
        <f aca="false">Y11/Inputs!$C$32</f>
        <v>3175.03524765154</v>
      </c>
      <c r="Z13" s="0" t="n">
        <f aca="false">Z11/Inputs!$C$32</f>
        <v>3236.81331718791</v>
      </c>
      <c r="AA13" s="0" t="n">
        <f aca="false">AA11/Inputs!$C$32</f>
        <v>3236.81331718791</v>
      </c>
      <c r="AB13" s="0" t="n">
        <f aca="false">AB11/Inputs!$C$32</f>
        <v>3299.826948115</v>
      </c>
      <c r="AC13" s="0" t="n">
        <f aca="false">AC11/Inputs!$C$32</f>
        <v>3299.826948115</v>
      </c>
      <c r="AD13" s="0" t="n">
        <f aca="false">AD11/Inputs!$C$32</f>
        <v>3655.42986326628</v>
      </c>
      <c r="AE13" s="0" t="n">
        <f aca="false">AE11/Inputs!$C$32</f>
        <v>3655.42986326628</v>
      </c>
      <c r="AF13" s="0" t="n">
        <f aca="false">AF11/Inputs!$C$32</f>
        <v>3726.81582511494</v>
      </c>
      <c r="AG13" s="0" t="n">
        <f aca="false">AG11/Inputs!$C$32</f>
        <v>3726.81582511494</v>
      </c>
      <c r="AH13" s="0" t="n">
        <f aca="false">AH11/Inputs!$C$32</f>
        <v>3799.62950620057</v>
      </c>
      <c r="AI13" s="0" t="n">
        <f aca="false">AI11/Inputs!$C$32</f>
        <v>3799.62950620057</v>
      </c>
      <c r="AJ13" s="0" t="n">
        <v>0</v>
      </c>
      <c r="AK13" s="0" t="n">
        <v>0</v>
      </c>
      <c r="AL13" s="0" t="n">
        <v>0</v>
      </c>
      <c r="AM13" s="0" t="n">
        <v>0</v>
      </c>
      <c r="AN13" s="0" t="n">
        <v>0</v>
      </c>
      <c r="AO13" s="0" t="n">
        <v>0</v>
      </c>
      <c r="AP13" s="0" t="n">
        <v>0</v>
      </c>
      <c r="AQ13" s="0" t="n">
        <v>0</v>
      </c>
      <c r="AR13" s="0" t="n">
        <v>0</v>
      </c>
      <c r="AS13" s="0" t="n">
        <v>0</v>
      </c>
      <c r="AT13" s="0" t="n">
        <v>0</v>
      </c>
      <c r="AU13" s="0" t="n">
        <v>0</v>
      </c>
      <c r="AV13" s="0" t="n">
        <v>0</v>
      </c>
      <c r="AW13" s="0" t="n">
        <v>0</v>
      </c>
      <c r="AX13" s="0" t="n">
        <v>0</v>
      </c>
      <c r="AY13" s="0" t="n">
        <v>0</v>
      </c>
      <c r="AZ13" s="0" t="n">
        <v>0</v>
      </c>
      <c r="BA13" s="0" t="n">
        <v>0</v>
      </c>
      <c r="BB13" s="0" t="n">
        <v>0</v>
      </c>
      <c r="BC13" s="0" t="n">
        <v>0</v>
      </c>
    </row>
    <row r="14" customFormat="false" ht="15" hidden="false" customHeight="false" outlineLevel="0" collapsed="false">
      <c r="A14" s="1" t="s">
        <v>155</v>
      </c>
      <c r="C14" s="6" t="n">
        <f aca="false">NPV((Inputs!$C$30+Inputs!$C$31/10000)/2,F13:AI13)</f>
        <v>61739.1471180968</v>
      </c>
    </row>
    <row r="15" customFormat="false" ht="15" hidden="false" customHeight="false" outlineLevel="0" collapsed="false">
      <c r="A15" s="0" t="s">
        <v>156</v>
      </c>
      <c r="C15" s="0" t="n">
        <f aca="false">Inputs!$C$28*CapEx!$BE$10</f>
        <v>32250</v>
      </c>
    </row>
    <row r="16" customFormat="false" ht="15" hidden="false" customHeight="false" outlineLevel="0" collapsed="false">
      <c r="A16" s="1" t="s">
        <v>157</v>
      </c>
      <c r="C16" s="6" t="n">
        <f aca="false">MIN(C14,C15)</f>
        <v>32250</v>
      </c>
    </row>
    <row r="17" customFormat="false" ht="15" hidden="false" customHeight="false" outlineLevel="0" collapsed="false">
      <c r="A17" s="0" t="s">
        <v>158</v>
      </c>
      <c r="C17" s="0" t="n">
        <f aca="false">IF(C14&gt;0,MIN(1,C16/C14),1)</f>
        <v>0.522359013776317</v>
      </c>
    </row>
    <row r="18" customFormat="false" ht="15" hidden="false" customHeight="false" outlineLevel="0" collapsed="false">
      <c r="A18" s="0" t="s">
        <v>159</v>
      </c>
      <c r="C18" s="0" t="n">
        <v>0</v>
      </c>
      <c r="D18" s="0" t="n">
        <v>0</v>
      </c>
      <c r="E18" s="0" t="n">
        <v>0</v>
      </c>
      <c r="F18" s="0" t="n">
        <f aca="false">F13*$C$17</f>
        <v>1395.1101965681</v>
      </c>
      <c r="G18" s="0" t="n">
        <f aca="false">G13*$C$17</f>
        <v>1395.1101965681</v>
      </c>
      <c r="H18" s="0" t="n">
        <f aca="false">H13*$C$17</f>
        <v>1422.11256636212</v>
      </c>
      <c r="I18" s="0" t="n">
        <f aca="false">I13*$C$17</f>
        <v>1422.11256636212</v>
      </c>
      <c r="J18" s="0" t="n">
        <f aca="false">J13*$C$17</f>
        <v>1449.65498355201</v>
      </c>
      <c r="K18" s="0" t="n">
        <f aca="false">K13*$C$17</f>
        <v>1449.65498355201</v>
      </c>
      <c r="L18" s="0" t="n">
        <f aca="false">L13*$C$17</f>
        <v>1477.74824908571</v>
      </c>
      <c r="M18" s="0" t="n">
        <f aca="false">M13*$C$17</f>
        <v>1477.74824908571</v>
      </c>
      <c r="N18" s="0" t="n">
        <f aca="false">N13*$C$17</f>
        <v>1506.40337993008</v>
      </c>
      <c r="O18" s="0" t="n">
        <f aca="false">O13*$C$17</f>
        <v>1506.40337993008</v>
      </c>
      <c r="P18" s="0" t="n">
        <f aca="false">P13*$C$17</f>
        <v>1535.63161339133</v>
      </c>
      <c r="Q18" s="0" t="n">
        <f aca="false">Q13*$C$17</f>
        <v>1535.63161339133</v>
      </c>
      <c r="R18" s="0" t="n">
        <f aca="false">R13*$C$17</f>
        <v>1565.44441152181</v>
      </c>
      <c r="S18" s="0" t="n">
        <f aca="false">S13*$C$17</f>
        <v>1565.44441152181</v>
      </c>
      <c r="T18" s="0" t="n">
        <f aca="false">T13*$C$17</f>
        <v>1595.8534656149</v>
      </c>
      <c r="U18" s="0" t="n">
        <f aca="false">U13*$C$17</f>
        <v>1595.8534656149</v>
      </c>
      <c r="V18" s="0" t="n">
        <f aca="false">V13*$C$17</f>
        <v>1626.87070078985</v>
      </c>
      <c r="W18" s="0" t="n">
        <f aca="false">W13*$C$17</f>
        <v>1626.87070078985</v>
      </c>
      <c r="X18" s="0" t="n">
        <f aca="false">X13*$C$17</f>
        <v>1658.50828066831</v>
      </c>
      <c r="Y18" s="0" t="n">
        <f aca="false">Y13*$C$17</f>
        <v>1658.50828066831</v>
      </c>
      <c r="Z18" s="0" t="n">
        <f aca="false">Z13*$C$17</f>
        <v>1690.77861214432</v>
      </c>
      <c r="AA18" s="0" t="n">
        <f aca="false">AA13*$C$17</f>
        <v>1690.77861214432</v>
      </c>
      <c r="AB18" s="0" t="n">
        <f aca="false">AB13*$C$17</f>
        <v>1723.69435024987</v>
      </c>
      <c r="AC18" s="0" t="n">
        <f aca="false">AC13*$C$17</f>
        <v>1723.69435024987</v>
      </c>
      <c r="AD18" s="0" t="n">
        <f aca="false">AD13*$C$17</f>
        <v>1909.44673830427</v>
      </c>
      <c r="AE18" s="0" t="n">
        <f aca="false">AE13*$C$17</f>
        <v>1909.44673830427</v>
      </c>
      <c r="AF18" s="0" t="n">
        <f aca="false">AF13*$C$17</f>
        <v>1946.73583893301</v>
      </c>
      <c r="AG18" s="0" t="n">
        <f aca="false">AG13*$C$17</f>
        <v>1946.73583893301</v>
      </c>
      <c r="AH18" s="0" t="n">
        <f aca="false">AH13*$C$17</f>
        <v>1984.77072157432</v>
      </c>
      <c r="AI18" s="0" t="n">
        <f aca="false">AI13*$C$17</f>
        <v>1984.77072157432</v>
      </c>
      <c r="AJ18" s="0" t="n">
        <v>0</v>
      </c>
      <c r="AK18" s="0" t="n">
        <v>0</v>
      </c>
      <c r="AL18" s="0" t="n">
        <v>0</v>
      </c>
      <c r="AM18" s="0" t="n">
        <v>0</v>
      </c>
      <c r="AN18" s="0" t="n">
        <v>0</v>
      </c>
      <c r="AO18" s="0" t="n">
        <v>0</v>
      </c>
      <c r="AP18" s="0" t="n">
        <v>0</v>
      </c>
      <c r="AQ18" s="0" t="n">
        <v>0</v>
      </c>
      <c r="AR18" s="0" t="n">
        <v>0</v>
      </c>
      <c r="AS18" s="0" t="n">
        <v>0</v>
      </c>
      <c r="AT18" s="0" t="n">
        <v>0</v>
      </c>
      <c r="AU18" s="0" t="n">
        <v>0</v>
      </c>
      <c r="AV18" s="0" t="n">
        <v>0</v>
      </c>
      <c r="AW18" s="0" t="n">
        <v>0</v>
      </c>
      <c r="AX18" s="0" t="n">
        <v>0</v>
      </c>
      <c r="AY18" s="0" t="n">
        <v>0</v>
      </c>
      <c r="AZ18" s="0" t="n">
        <v>0</v>
      </c>
      <c r="BA18" s="0" t="n">
        <v>0</v>
      </c>
      <c r="BB18" s="0" t="n">
        <v>0</v>
      </c>
      <c r="BC18" s="0" t="n">
        <v>0</v>
      </c>
    </row>
    <row r="19" customFormat="false" ht="15" hidden="false" customHeight="false" outlineLevel="0" collapsed="false">
      <c r="A19" s="1" t="s">
        <v>160</v>
      </c>
    </row>
    <row r="20" customFormat="false" ht="15" hidden="false" customHeight="false" outlineLevel="0" collapsed="false">
      <c r="A20" s="0" t="s">
        <v>161</v>
      </c>
      <c r="C20" s="0" t="n">
        <v>0</v>
      </c>
      <c r="D20" s="0" t="n">
        <v>0</v>
      </c>
      <c r="E20" s="0" t="n">
        <v>0</v>
      </c>
      <c r="F20" s="7" t="n">
        <f aca="false">C16</f>
        <v>32250</v>
      </c>
      <c r="G20" s="7" t="n">
        <f aca="false">F24</f>
        <v>31741.7648034319</v>
      </c>
      <c r="H20" s="7" t="n">
        <f aca="false">G24</f>
        <v>31219.5531389582</v>
      </c>
      <c r="I20" s="7" t="n">
        <f aca="false">H24</f>
        <v>30655.9782839174</v>
      </c>
      <c r="J20" s="7" t="n">
        <f aca="false">I24</f>
        <v>30076.905120363</v>
      </c>
      <c r="K20" s="7" t="n">
        <f aca="false">J24</f>
        <v>29454.365027621</v>
      </c>
      <c r="L20" s="7" t="n">
        <f aca="false">K24</f>
        <v>28814.7050823286</v>
      </c>
      <c r="M20" s="7" t="n">
        <f aca="false">L24</f>
        <v>28129.3612230069</v>
      </c>
      <c r="N20" s="7" t="n">
        <f aca="false">M24</f>
        <v>27425.1704075539</v>
      </c>
      <c r="O20" s="7" t="n">
        <f aca="false">N24</f>
        <v>26672.9592138315</v>
      </c>
      <c r="P20" s="7" t="n">
        <f aca="false">O24</f>
        <v>25900.0622122818</v>
      </c>
      <c r="Q20" s="7" t="n">
        <f aca="false">P24</f>
        <v>25076.6823097282</v>
      </c>
      <c r="R20" s="7" t="n">
        <f aca="false">Q24</f>
        <v>24230.6594598544</v>
      </c>
      <c r="S20" s="7" t="n">
        <f aca="false">R24</f>
        <v>23331.5581834786</v>
      </c>
      <c r="T20" s="7" t="n">
        <f aca="false">S24</f>
        <v>22407.7316220025</v>
      </c>
      <c r="U20" s="7" t="n">
        <f aca="false">T24</f>
        <v>21428.0907759926</v>
      </c>
      <c r="V20" s="7" t="n">
        <f aca="false">U24</f>
        <v>20421.5098067175</v>
      </c>
      <c r="W20" s="7" t="n">
        <f aca="false">V24</f>
        <v>19356.2306256124</v>
      </c>
      <c r="X20" s="7" t="n">
        <f aca="false">W24</f>
        <v>18261.6562670269</v>
      </c>
      <c r="Y20" s="7" t="n">
        <f aca="false">X24</f>
        <v>17105.3435337018</v>
      </c>
      <c r="Z20" s="7" t="n">
        <f aca="false">Y24</f>
        <v>15917.2322002103</v>
      </c>
      <c r="AA20" s="7" t="n">
        <f aca="false">Z24</f>
        <v>14664.1774735718</v>
      </c>
      <c r="AB20" s="7" t="n">
        <f aca="false">AA24</f>
        <v>13376.6637419507</v>
      </c>
      <c r="AC20" s="7" t="n">
        <f aca="false">AB24</f>
        <v>12020.8276446044</v>
      </c>
      <c r="AD20" s="7" t="n">
        <f aca="false">AC24</f>
        <v>10627.7060545812</v>
      </c>
      <c r="AE20" s="7" t="n">
        <f aca="false">AD24</f>
        <v>9010.52123277792</v>
      </c>
      <c r="AF20" s="7" t="n">
        <f aca="false">AE24</f>
        <v>7348.86382837504</v>
      </c>
      <c r="AG20" s="7" t="n">
        <f aca="false">AF24</f>
        <v>5604.22174472235</v>
      </c>
      <c r="AH20" s="7" t="n">
        <f aca="false">AG24</f>
        <v>3811.6020037692</v>
      </c>
      <c r="AI20" s="7" t="n">
        <f aca="false">AH24</f>
        <v>1931.65033729853</v>
      </c>
      <c r="AJ20" s="0" t="n">
        <v>0</v>
      </c>
      <c r="AK20" s="0" t="n">
        <v>0</v>
      </c>
      <c r="AL20" s="0" t="n">
        <v>0</v>
      </c>
      <c r="AM20" s="0" t="n">
        <v>0</v>
      </c>
      <c r="AN20" s="0" t="n">
        <v>0</v>
      </c>
      <c r="AO20" s="0" t="n">
        <v>0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0</v>
      </c>
      <c r="AV20" s="0" t="n">
        <v>0</v>
      </c>
      <c r="AW20" s="0" t="n">
        <v>0</v>
      </c>
      <c r="AX20" s="0" t="n">
        <v>0</v>
      </c>
      <c r="AY20" s="0" t="n">
        <v>0</v>
      </c>
      <c r="AZ20" s="0" t="n">
        <v>0</v>
      </c>
      <c r="BA20" s="0" t="n">
        <v>0</v>
      </c>
      <c r="BB20" s="0" t="n">
        <v>0</v>
      </c>
      <c r="BC20" s="0" t="n">
        <v>0</v>
      </c>
    </row>
    <row r="21" customFormat="false" ht="15" hidden="false" customHeight="false" outlineLevel="0" collapsed="false">
      <c r="A21" s="0" t="s">
        <v>162</v>
      </c>
      <c r="C21" s="0" t="n">
        <v>0</v>
      </c>
      <c r="D21" s="0" t="n">
        <v>0</v>
      </c>
      <c r="E21" s="0" t="n">
        <v>0</v>
      </c>
      <c r="F21" s="7" t="n">
        <f aca="false">F20*(Inputs!$C$30+Inputs!$C$31/10000)/2</f>
        <v>886.875</v>
      </c>
      <c r="G21" s="7" t="n">
        <f aca="false">G20*(Inputs!$C$30+Inputs!$C$31/10000)/2</f>
        <v>872.898532094377</v>
      </c>
      <c r="H21" s="7" t="n">
        <f aca="false">H20*(Inputs!$C$30+Inputs!$C$31/10000)/2</f>
        <v>858.53771132135</v>
      </c>
      <c r="I21" s="7" t="n">
        <f aca="false">I20*(Inputs!$C$30+Inputs!$C$31/10000)/2</f>
        <v>843.039402807729</v>
      </c>
      <c r="J21" s="7" t="n">
        <f aca="false">J20*(Inputs!$C$30+Inputs!$C$31/10000)/2</f>
        <v>827.114890809983</v>
      </c>
      <c r="K21" s="7" t="n">
        <f aca="false">K20*(Inputs!$C$30+Inputs!$C$31/10000)/2</f>
        <v>809.995038259577</v>
      </c>
      <c r="L21" s="7" t="n">
        <f aca="false">L20*(Inputs!$C$30+Inputs!$C$31/10000)/2</f>
        <v>792.404389764035</v>
      </c>
      <c r="M21" s="7" t="n">
        <f aca="false">M20*(Inputs!$C$30+Inputs!$C$31/10000)/2</f>
        <v>773.557433632689</v>
      </c>
      <c r="N21" s="7" t="n">
        <f aca="false">N20*(Inputs!$C$30+Inputs!$C$31/10000)/2</f>
        <v>754.192186207731</v>
      </c>
      <c r="O21" s="7" t="n">
        <f aca="false">O20*(Inputs!$C$30+Inputs!$C$31/10000)/2</f>
        <v>733.506378380367</v>
      </c>
      <c r="P21" s="7" t="n">
        <f aca="false">P20*(Inputs!$C$30+Inputs!$C$31/10000)/2</f>
        <v>712.25171083775</v>
      </c>
      <c r="Q21" s="7" t="n">
        <f aca="false">Q20*(Inputs!$C$30+Inputs!$C$31/10000)/2</f>
        <v>689.608763517526</v>
      </c>
      <c r="R21" s="7" t="n">
        <f aca="false">R20*(Inputs!$C$30+Inputs!$C$31/10000)/2</f>
        <v>666.343135145997</v>
      </c>
      <c r="S21" s="7" t="n">
        <f aca="false">S20*(Inputs!$C$30+Inputs!$C$31/10000)/2</f>
        <v>641.617850045662</v>
      </c>
      <c r="T21" s="7" t="n">
        <f aca="false">T20*(Inputs!$C$30+Inputs!$C$31/10000)/2</f>
        <v>616.212619605068</v>
      </c>
      <c r="U21" s="7" t="n">
        <f aca="false">U20*(Inputs!$C$30+Inputs!$C$31/10000)/2</f>
        <v>589.272496339797</v>
      </c>
      <c r="V21" s="7" t="n">
        <f aca="false">V20*(Inputs!$C$30+Inputs!$C$31/10000)/2</f>
        <v>561.591519684732</v>
      </c>
      <c r="W21" s="7" t="n">
        <f aca="false">W20*(Inputs!$C$30+Inputs!$C$31/10000)/2</f>
        <v>532.296342204341</v>
      </c>
      <c r="X21" s="7" t="n">
        <f aca="false">X20*(Inputs!$C$30+Inputs!$C$31/10000)/2</f>
        <v>502.195547343239</v>
      </c>
      <c r="Y21" s="7" t="n">
        <f aca="false">Y20*(Inputs!$C$30+Inputs!$C$31/10000)/2</f>
        <v>470.3969471768</v>
      </c>
      <c r="Z21" s="7" t="n">
        <f aca="false">Z20*(Inputs!$C$30+Inputs!$C$31/10000)/2</f>
        <v>437.723885505784</v>
      </c>
      <c r="AA21" s="7" t="n">
        <f aca="false">AA20*(Inputs!$C$30+Inputs!$C$31/10000)/2</f>
        <v>403.264880523224</v>
      </c>
      <c r="AB21" s="7" t="n">
        <f aca="false">AB20*(Inputs!$C$30+Inputs!$C$31/10000)/2</f>
        <v>367.858252903643</v>
      </c>
      <c r="AC21" s="7" t="n">
        <f aca="false">AC20*(Inputs!$C$30+Inputs!$C$31/10000)/2</f>
        <v>330.572760226622</v>
      </c>
      <c r="AD21" s="7" t="n">
        <f aca="false">AD20*(Inputs!$C$30+Inputs!$C$31/10000)/2</f>
        <v>292.261916500983</v>
      </c>
      <c r="AE21" s="7" t="n">
        <f aca="false">AE20*(Inputs!$C$30+Inputs!$C$31/10000)/2</f>
        <v>247.789333901393</v>
      </c>
      <c r="AF21" s="7" t="n">
        <f aca="false">AF20*(Inputs!$C$30+Inputs!$C$31/10000)/2</f>
        <v>202.093755280314</v>
      </c>
      <c r="AG21" s="7" t="n">
        <f aca="false">AG20*(Inputs!$C$30+Inputs!$C$31/10000)/2</f>
        <v>154.116097979865</v>
      </c>
      <c r="AH21" s="7" t="n">
        <f aca="false">AH20*(Inputs!$C$30+Inputs!$C$31/10000)/2</f>
        <v>104.819055103653</v>
      </c>
      <c r="AI21" s="7" t="n">
        <f aca="false">AI20*(Inputs!$C$30+Inputs!$C$31/10000)/2</f>
        <v>53.1203842757096</v>
      </c>
      <c r="AJ21" s="0" t="n">
        <v>0</v>
      </c>
      <c r="AK21" s="0" t="n">
        <v>0</v>
      </c>
      <c r="AL21" s="0" t="n">
        <v>0</v>
      </c>
      <c r="AM21" s="0" t="n">
        <v>0</v>
      </c>
      <c r="AN21" s="0" t="n">
        <v>0</v>
      </c>
      <c r="AO21" s="0" t="n">
        <v>0</v>
      </c>
      <c r="AP21" s="0" t="n">
        <v>0</v>
      </c>
      <c r="AQ21" s="0" t="n">
        <v>0</v>
      </c>
      <c r="AR21" s="0" t="n">
        <v>0</v>
      </c>
      <c r="AS21" s="0" t="n">
        <v>0</v>
      </c>
      <c r="AT21" s="0" t="n">
        <v>0</v>
      </c>
      <c r="AU21" s="0" t="n">
        <v>0</v>
      </c>
      <c r="AV21" s="0" t="n">
        <v>0</v>
      </c>
      <c r="AW21" s="0" t="n">
        <v>0</v>
      </c>
      <c r="AX21" s="0" t="n">
        <v>0</v>
      </c>
      <c r="AY21" s="0" t="n">
        <v>0</v>
      </c>
      <c r="AZ21" s="0" t="n">
        <v>0</v>
      </c>
      <c r="BA21" s="0" t="n">
        <v>0</v>
      </c>
      <c r="BB21" s="0" t="n">
        <v>0</v>
      </c>
      <c r="BC21" s="0" t="n">
        <v>0</v>
      </c>
    </row>
    <row r="22" customFormat="false" ht="15" hidden="false" customHeight="false" outlineLevel="0" collapsed="false">
      <c r="A22" s="0" t="s">
        <v>163</v>
      </c>
      <c r="C22" s="0" t="n">
        <v>0</v>
      </c>
      <c r="D22" s="0" t="n">
        <v>0</v>
      </c>
      <c r="E22" s="0" t="n">
        <v>0</v>
      </c>
      <c r="F22" s="0" t="n">
        <f aca="false">MIN(F18,F20+F21)</f>
        <v>1395.1101965681</v>
      </c>
      <c r="G22" s="0" t="n">
        <f aca="false">MIN(G18,G20+G21)</f>
        <v>1395.1101965681</v>
      </c>
      <c r="H22" s="0" t="n">
        <f aca="false">MIN(H18,H20+H21)</f>
        <v>1422.11256636212</v>
      </c>
      <c r="I22" s="0" t="n">
        <f aca="false">MIN(I18,I20+I21)</f>
        <v>1422.11256636212</v>
      </c>
      <c r="J22" s="0" t="n">
        <f aca="false">MIN(J18,J20+J21)</f>
        <v>1449.65498355201</v>
      </c>
      <c r="K22" s="0" t="n">
        <f aca="false">MIN(K18,K20+K21)</f>
        <v>1449.65498355201</v>
      </c>
      <c r="L22" s="0" t="n">
        <f aca="false">MIN(L18,L20+L21)</f>
        <v>1477.74824908571</v>
      </c>
      <c r="M22" s="0" t="n">
        <f aca="false">MIN(M18,M20+M21)</f>
        <v>1477.74824908571</v>
      </c>
      <c r="N22" s="0" t="n">
        <f aca="false">MIN(N18,N20+N21)</f>
        <v>1506.40337993008</v>
      </c>
      <c r="O22" s="0" t="n">
        <f aca="false">MIN(O18,O20+O21)</f>
        <v>1506.40337993008</v>
      </c>
      <c r="P22" s="0" t="n">
        <f aca="false">MIN(P18,P20+P21)</f>
        <v>1535.63161339133</v>
      </c>
      <c r="Q22" s="0" t="n">
        <f aca="false">MIN(Q18,Q20+Q21)</f>
        <v>1535.63161339133</v>
      </c>
      <c r="R22" s="0" t="n">
        <f aca="false">MIN(R18,R20+R21)</f>
        <v>1565.44441152181</v>
      </c>
      <c r="S22" s="0" t="n">
        <f aca="false">MIN(S18,S20+S21)</f>
        <v>1565.44441152181</v>
      </c>
      <c r="T22" s="0" t="n">
        <f aca="false">MIN(T18,T20+T21)</f>
        <v>1595.8534656149</v>
      </c>
      <c r="U22" s="0" t="n">
        <f aca="false">MIN(U18,U20+U21)</f>
        <v>1595.8534656149</v>
      </c>
      <c r="V22" s="0" t="n">
        <f aca="false">MIN(V18,V20+V21)</f>
        <v>1626.87070078985</v>
      </c>
      <c r="W22" s="0" t="n">
        <f aca="false">MIN(W18,W20+W21)</f>
        <v>1626.87070078985</v>
      </c>
      <c r="X22" s="0" t="n">
        <f aca="false">MIN(X18,X20+X21)</f>
        <v>1658.50828066831</v>
      </c>
      <c r="Y22" s="0" t="n">
        <f aca="false">MIN(Y18,Y20+Y21)</f>
        <v>1658.50828066831</v>
      </c>
      <c r="Z22" s="0" t="n">
        <f aca="false">MIN(Z18,Z20+Z21)</f>
        <v>1690.77861214432</v>
      </c>
      <c r="AA22" s="0" t="n">
        <f aca="false">MIN(AA18,AA20+AA21)</f>
        <v>1690.77861214432</v>
      </c>
      <c r="AB22" s="0" t="n">
        <f aca="false">MIN(AB18,AB20+AB21)</f>
        <v>1723.69435024987</v>
      </c>
      <c r="AC22" s="0" t="n">
        <f aca="false">MIN(AC18,AC20+AC21)</f>
        <v>1723.69435024987</v>
      </c>
      <c r="AD22" s="0" t="n">
        <f aca="false">MIN(AD18,AD20+AD21)</f>
        <v>1909.44673830427</v>
      </c>
      <c r="AE22" s="0" t="n">
        <f aca="false">MIN(AE18,AE20+AE21)</f>
        <v>1909.44673830427</v>
      </c>
      <c r="AF22" s="0" t="n">
        <f aca="false">MIN(AF18,AF20+AF21)</f>
        <v>1946.73583893301</v>
      </c>
      <c r="AG22" s="0" t="n">
        <f aca="false">MIN(AG18,AG20+AG21)</f>
        <v>1946.73583893301</v>
      </c>
      <c r="AH22" s="0" t="n">
        <f aca="false">MIN(AH18,AH20+AH21)</f>
        <v>1984.77072157432</v>
      </c>
      <c r="AI22" s="7" t="n">
        <f aca="false">AI23+AI21</f>
        <v>1984.77072157424</v>
      </c>
      <c r="AJ22" s="0" t="n">
        <v>0</v>
      </c>
      <c r="AK22" s="0" t="n">
        <v>0</v>
      </c>
      <c r="AL22" s="0" t="n">
        <v>0</v>
      </c>
      <c r="AM22" s="0" t="n">
        <v>0</v>
      </c>
      <c r="AN22" s="0" t="n">
        <v>0</v>
      </c>
      <c r="AO22" s="0" t="n">
        <v>0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V22" s="0" t="n">
        <v>0</v>
      </c>
      <c r="AW22" s="0" t="n">
        <v>0</v>
      </c>
      <c r="AX22" s="0" t="n">
        <v>0</v>
      </c>
      <c r="AY22" s="0" t="n">
        <v>0</v>
      </c>
      <c r="AZ22" s="0" t="n">
        <v>0</v>
      </c>
      <c r="BA22" s="0" t="n">
        <v>0</v>
      </c>
      <c r="BB22" s="0" t="n">
        <v>0</v>
      </c>
      <c r="BC22" s="0" t="n">
        <v>0</v>
      </c>
    </row>
    <row r="23" customFormat="false" ht="15" hidden="false" customHeight="false" outlineLevel="0" collapsed="false">
      <c r="A23" s="0" t="s">
        <v>164</v>
      </c>
      <c r="C23" s="0" t="n">
        <v>0</v>
      </c>
      <c r="D23" s="0" t="n">
        <v>0</v>
      </c>
      <c r="E23" s="0" t="n">
        <v>0</v>
      </c>
      <c r="F23" s="7" t="n">
        <f aca="false">F22-F21</f>
        <v>508.235196568101</v>
      </c>
      <c r="G23" s="7" t="n">
        <f aca="false">G22-G21</f>
        <v>522.211664473724</v>
      </c>
      <c r="H23" s="7" t="n">
        <f aca="false">H22-H21</f>
        <v>563.574855040767</v>
      </c>
      <c r="I23" s="7" t="n">
        <f aca="false">I22-I21</f>
        <v>579.073163554388</v>
      </c>
      <c r="J23" s="7" t="n">
        <f aca="false">J22-J21</f>
        <v>622.54009274203</v>
      </c>
      <c r="K23" s="7" t="n">
        <f aca="false">K22-K21</f>
        <v>639.659945292436</v>
      </c>
      <c r="L23" s="7" t="n">
        <f aca="false">L22-L21</f>
        <v>685.343859321673</v>
      </c>
      <c r="M23" s="7" t="n">
        <f aca="false">M22-M21</f>
        <v>704.190815453019</v>
      </c>
      <c r="N23" s="7" t="n">
        <f aca="false">N22-N21</f>
        <v>752.211193722344</v>
      </c>
      <c r="O23" s="7" t="n">
        <f aca="false">O22-O21</f>
        <v>772.897001549709</v>
      </c>
      <c r="P23" s="7" t="n">
        <f aca="false">P22-P21</f>
        <v>823.379902553582</v>
      </c>
      <c r="Q23" s="7" t="n">
        <f aca="false">Q22-Q21</f>
        <v>846.022849873805</v>
      </c>
      <c r="R23" s="7" t="n">
        <f aca="false">R22-R21</f>
        <v>899.101276375815</v>
      </c>
      <c r="S23" s="7" t="n">
        <f aca="false">S22-S21</f>
        <v>923.82656147615</v>
      </c>
      <c r="T23" s="7" t="n">
        <f aca="false">T22-T21</f>
        <v>979.640846009835</v>
      </c>
      <c r="U23" s="7" t="n">
        <f aca="false">U22-U21</f>
        <v>1006.58096927511</v>
      </c>
      <c r="V23" s="7" t="n">
        <f aca="false">V22-V21</f>
        <v>1065.27918110512</v>
      </c>
      <c r="W23" s="7" t="n">
        <f aca="false">W22-W21</f>
        <v>1094.57435858551</v>
      </c>
      <c r="X23" s="7" t="n">
        <f aca="false">X22-X21</f>
        <v>1156.31273332507</v>
      </c>
      <c r="Y23" s="7" t="n">
        <f aca="false">Y22-Y21</f>
        <v>1188.1113334915</v>
      </c>
      <c r="Z23" s="7" t="n">
        <f aca="false">Z22-Z21</f>
        <v>1253.05472663854</v>
      </c>
      <c r="AA23" s="7" t="n">
        <f aca="false">AA22-AA21</f>
        <v>1287.5137316211</v>
      </c>
      <c r="AB23" s="7" t="n">
        <f aca="false">AB22-AB21</f>
        <v>1355.83609734622</v>
      </c>
      <c r="AC23" s="7" t="n">
        <f aca="false">AC22-AC21</f>
        <v>1393.12159002324</v>
      </c>
      <c r="AD23" s="7" t="n">
        <f aca="false">AD22-AD21</f>
        <v>1617.18482180329</v>
      </c>
      <c r="AE23" s="7" t="n">
        <f aca="false">AE22-AE21</f>
        <v>1661.65740440288</v>
      </c>
      <c r="AF23" s="7" t="n">
        <f aca="false">AF22-AF21</f>
        <v>1744.6420836527</v>
      </c>
      <c r="AG23" s="7" t="n">
        <f aca="false">AG22-AG21</f>
        <v>1792.61974095314</v>
      </c>
      <c r="AH23" s="7" t="n">
        <f aca="false">AH22-AH21</f>
        <v>1879.95166647067</v>
      </c>
      <c r="AI23" s="7" t="n">
        <f aca="false">AI20</f>
        <v>1931.65033729853</v>
      </c>
      <c r="AJ23" s="0" t="n">
        <v>0</v>
      </c>
      <c r="AK23" s="0" t="n">
        <v>0</v>
      </c>
      <c r="AL23" s="0" t="n">
        <v>0</v>
      </c>
      <c r="AM23" s="0" t="n">
        <v>0</v>
      </c>
      <c r="AN23" s="0" t="n">
        <v>0</v>
      </c>
      <c r="AO23" s="0" t="n">
        <v>0</v>
      </c>
      <c r="AP23" s="0" t="n">
        <v>0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</v>
      </c>
      <c r="AV23" s="0" t="n">
        <v>0</v>
      </c>
      <c r="AW23" s="0" t="n">
        <v>0</v>
      </c>
      <c r="AX23" s="0" t="n">
        <v>0</v>
      </c>
      <c r="AY23" s="0" t="n">
        <v>0</v>
      </c>
      <c r="AZ23" s="0" t="n">
        <v>0</v>
      </c>
      <c r="BA23" s="0" t="n">
        <v>0</v>
      </c>
      <c r="BB23" s="0" t="n">
        <v>0</v>
      </c>
      <c r="BC23" s="0" t="n">
        <v>0</v>
      </c>
    </row>
    <row r="24" customFormat="false" ht="15" hidden="false" customHeight="false" outlineLevel="0" collapsed="false">
      <c r="A24" s="0" t="s">
        <v>165</v>
      </c>
      <c r="C24" s="0" t="n">
        <v>0</v>
      </c>
      <c r="D24" s="0" t="n">
        <v>0</v>
      </c>
      <c r="E24" s="0" t="n">
        <v>0</v>
      </c>
      <c r="F24" s="7" t="n">
        <f aca="false">F20-F23</f>
        <v>31741.7648034319</v>
      </c>
      <c r="G24" s="7" t="n">
        <f aca="false">G20-G23</f>
        <v>31219.5531389582</v>
      </c>
      <c r="H24" s="7" t="n">
        <f aca="false">H20-H23</f>
        <v>30655.9782839174</v>
      </c>
      <c r="I24" s="7" t="n">
        <f aca="false">I20-I23</f>
        <v>30076.905120363</v>
      </c>
      <c r="J24" s="7" t="n">
        <f aca="false">J20-J23</f>
        <v>29454.365027621</v>
      </c>
      <c r="K24" s="7" t="n">
        <f aca="false">K20-K23</f>
        <v>28814.7050823286</v>
      </c>
      <c r="L24" s="7" t="n">
        <f aca="false">L20-L23</f>
        <v>28129.3612230069</v>
      </c>
      <c r="M24" s="7" t="n">
        <f aca="false">M20-M23</f>
        <v>27425.1704075539</v>
      </c>
      <c r="N24" s="7" t="n">
        <f aca="false">N20-N23</f>
        <v>26672.9592138315</v>
      </c>
      <c r="O24" s="7" t="n">
        <f aca="false">O20-O23</f>
        <v>25900.0622122818</v>
      </c>
      <c r="P24" s="7" t="n">
        <f aca="false">P20-P23</f>
        <v>25076.6823097282</v>
      </c>
      <c r="Q24" s="7" t="n">
        <f aca="false">Q20-Q23</f>
        <v>24230.6594598544</v>
      </c>
      <c r="R24" s="7" t="n">
        <f aca="false">R20-R23</f>
        <v>23331.5581834786</v>
      </c>
      <c r="S24" s="7" t="n">
        <f aca="false">S20-S23</f>
        <v>22407.7316220025</v>
      </c>
      <c r="T24" s="7" t="n">
        <f aca="false">T20-T23</f>
        <v>21428.0907759926</v>
      </c>
      <c r="U24" s="7" t="n">
        <f aca="false">U20-U23</f>
        <v>20421.5098067175</v>
      </c>
      <c r="V24" s="7" t="n">
        <f aca="false">V20-V23</f>
        <v>19356.2306256124</v>
      </c>
      <c r="W24" s="7" t="n">
        <f aca="false">W20-W23</f>
        <v>18261.6562670269</v>
      </c>
      <c r="X24" s="7" t="n">
        <f aca="false">X20-X23</f>
        <v>17105.3435337018</v>
      </c>
      <c r="Y24" s="7" t="n">
        <f aca="false">Y20-Y23</f>
        <v>15917.2322002103</v>
      </c>
      <c r="Z24" s="7" t="n">
        <f aca="false">Z20-Z23</f>
        <v>14664.1774735718</v>
      </c>
      <c r="AA24" s="7" t="n">
        <f aca="false">AA20-AA23</f>
        <v>13376.6637419507</v>
      </c>
      <c r="AB24" s="7" t="n">
        <f aca="false">AB20-AB23</f>
        <v>12020.8276446044</v>
      </c>
      <c r="AC24" s="7" t="n">
        <f aca="false">AC20-AC23</f>
        <v>10627.7060545812</v>
      </c>
      <c r="AD24" s="7" t="n">
        <f aca="false">AD20-AD23</f>
        <v>9010.52123277792</v>
      </c>
      <c r="AE24" s="7" t="n">
        <f aca="false">AE20-AE23</f>
        <v>7348.86382837504</v>
      </c>
      <c r="AF24" s="7" t="n">
        <f aca="false">AF20-AF23</f>
        <v>5604.22174472235</v>
      </c>
      <c r="AG24" s="7" t="n">
        <f aca="false">AG20-AG23</f>
        <v>3811.6020037692</v>
      </c>
      <c r="AH24" s="7" t="n">
        <f aca="false">AH20-AH23</f>
        <v>1931.65033729853</v>
      </c>
      <c r="AI24" s="7" t="n">
        <f aca="false">AI20-AI23</f>
        <v>0</v>
      </c>
      <c r="AJ24" s="0" t="n">
        <v>0</v>
      </c>
      <c r="AK24" s="0" t="n">
        <v>0</v>
      </c>
      <c r="AL24" s="0" t="n">
        <v>0</v>
      </c>
      <c r="AM24" s="0" t="n">
        <v>0</v>
      </c>
      <c r="AN24" s="0" t="n">
        <v>0</v>
      </c>
      <c r="AO24" s="0" t="n">
        <v>0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V24" s="0" t="n">
        <v>0</v>
      </c>
      <c r="AW24" s="0" t="n">
        <v>0</v>
      </c>
      <c r="AX24" s="0" t="n">
        <v>0</v>
      </c>
      <c r="AY24" s="0" t="n">
        <v>0</v>
      </c>
      <c r="AZ24" s="0" t="n">
        <v>0</v>
      </c>
      <c r="BA24" s="0" t="n">
        <v>0</v>
      </c>
      <c r="BB24" s="0" t="n">
        <v>0</v>
      </c>
      <c r="BC24" s="0" t="n">
        <v>0</v>
      </c>
    </row>
    <row r="25" customFormat="false" ht="15" hidden="false" customHeight="false" outlineLevel="0" collapsed="false">
      <c r="A25" s="0" t="s">
        <v>166</v>
      </c>
      <c r="C25" s="0" t="s">
        <v>167</v>
      </c>
      <c r="D25" s="0" t="s">
        <v>167</v>
      </c>
      <c r="E25" s="0" t="s">
        <v>167</v>
      </c>
      <c r="F25" s="0" t="n">
        <f aca="false">IF(F22=0,"n/a",F11/F22)</f>
        <v>2.29727059044081</v>
      </c>
      <c r="G25" s="0" t="n">
        <f aca="false">IF(G22=0,"n/a",G11/G22)</f>
        <v>2.29727059044081</v>
      </c>
      <c r="H25" s="0" t="n">
        <f aca="false">IF(H22=0,"n/a",H11/H22)</f>
        <v>2.29727059044081</v>
      </c>
      <c r="I25" s="0" t="n">
        <f aca="false">IF(I22=0,"n/a",I11/I22)</f>
        <v>2.29727059044081</v>
      </c>
      <c r="J25" s="0" t="n">
        <f aca="false">IF(J22=0,"n/a",J11/J22)</f>
        <v>2.29727059044081</v>
      </c>
      <c r="K25" s="0" t="n">
        <f aca="false">IF(K22=0,"n/a",K11/K22)</f>
        <v>2.29727059044081</v>
      </c>
      <c r="L25" s="0" t="n">
        <f aca="false">IF(L22=0,"n/a",L11/L22)</f>
        <v>2.29727059044081</v>
      </c>
      <c r="M25" s="0" t="n">
        <f aca="false">IF(M22=0,"n/a",M11/M22)</f>
        <v>2.29727059044081</v>
      </c>
      <c r="N25" s="0" t="n">
        <f aca="false">IF(N22=0,"n/a",N11/N22)</f>
        <v>2.29727059044081</v>
      </c>
      <c r="O25" s="0" t="n">
        <f aca="false">IF(O22=0,"n/a",O11/O22)</f>
        <v>2.29727059044081</v>
      </c>
      <c r="P25" s="0" t="n">
        <f aca="false">IF(P22=0,"n/a",P11/P22)</f>
        <v>2.29727059044081</v>
      </c>
      <c r="Q25" s="0" t="n">
        <f aca="false">IF(Q22=0,"n/a",Q11/Q22)</f>
        <v>2.29727059044081</v>
      </c>
      <c r="R25" s="0" t="n">
        <f aca="false">IF(R22=0,"n/a",R11/R22)</f>
        <v>2.29727059044081</v>
      </c>
      <c r="S25" s="0" t="n">
        <f aca="false">IF(S22=0,"n/a",S11/S22)</f>
        <v>2.29727059044081</v>
      </c>
      <c r="T25" s="0" t="n">
        <f aca="false">IF(T22=0,"n/a",T11/T22)</f>
        <v>2.29727059044081</v>
      </c>
      <c r="U25" s="0" t="n">
        <f aca="false">IF(U22=0,"n/a",U11/U22)</f>
        <v>2.29727059044081</v>
      </c>
      <c r="V25" s="0" t="n">
        <f aca="false">IF(V22=0,"n/a",V11/V22)</f>
        <v>2.29727059044081</v>
      </c>
      <c r="W25" s="0" t="n">
        <f aca="false">IF(W22=0,"n/a",W11/W22)</f>
        <v>2.29727059044081</v>
      </c>
      <c r="X25" s="0" t="n">
        <f aca="false">IF(X22=0,"n/a",X11/X22)</f>
        <v>2.29727059044081</v>
      </c>
      <c r="Y25" s="0" t="n">
        <f aca="false">IF(Y22=0,"n/a",Y11/Y22)</f>
        <v>2.29727059044081</v>
      </c>
      <c r="Z25" s="0" t="n">
        <f aca="false">IF(Z22=0,"n/a",Z11/Z22)</f>
        <v>2.29727059044081</v>
      </c>
      <c r="AA25" s="0" t="n">
        <f aca="false">IF(AA22=0,"n/a",AA11/AA22)</f>
        <v>2.29727059044081</v>
      </c>
      <c r="AB25" s="0" t="n">
        <f aca="false">IF(AB22=0,"n/a",AB11/AB22)</f>
        <v>2.29727059044081</v>
      </c>
      <c r="AC25" s="0" t="n">
        <f aca="false">IF(AC22=0,"n/a",AC11/AC22)</f>
        <v>2.29727059044081</v>
      </c>
      <c r="AD25" s="0" t="n">
        <f aca="false">IF(AD22=0,"n/a",AD11/AD22)</f>
        <v>2.29727059044081</v>
      </c>
      <c r="AE25" s="0" t="n">
        <f aca="false">IF(AE22=0,"n/a",AE11/AE22)</f>
        <v>2.29727059044081</v>
      </c>
      <c r="AF25" s="0" t="n">
        <f aca="false">IF(AF22=0,"n/a",AF11/AF22)</f>
        <v>2.29727059044081</v>
      </c>
      <c r="AG25" s="0" t="n">
        <f aca="false">IF(AG22=0,"n/a",AG11/AG22)</f>
        <v>2.29727059044081</v>
      </c>
      <c r="AH25" s="0" t="n">
        <f aca="false">IF(AH22=0,"n/a",AH11/AH22)</f>
        <v>2.29727059044081</v>
      </c>
      <c r="AI25" s="0" t="n">
        <f aca="false">IF(AI22=0,"n/a",AI11/AI22)</f>
        <v>2.29727059044091</v>
      </c>
      <c r="AJ25" s="0" t="s">
        <v>167</v>
      </c>
      <c r="AK25" s="0" t="s">
        <v>167</v>
      </c>
      <c r="AL25" s="0" t="s">
        <v>167</v>
      </c>
      <c r="AM25" s="0" t="s">
        <v>167</v>
      </c>
      <c r="AN25" s="0" t="s">
        <v>167</v>
      </c>
      <c r="AO25" s="0" t="s">
        <v>167</v>
      </c>
      <c r="AP25" s="0" t="s">
        <v>167</v>
      </c>
      <c r="AQ25" s="0" t="s">
        <v>167</v>
      </c>
      <c r="AR25" s="0" t="s">
        <v>167</v>
      </c>
      <c r="AS25" s="0" t="s">
        <v>167</v>
      </c>
      <c r="AT25" s="0" t="s">
        <v>167</v>
      </c>
      <c r="AU25" s="0" t="s">
        <v>167</v>
      </c>
      <c r="AV25" s="0" t="s">
        <v>167</v>
      </c>
      <c r="AW25" s="0" t="s">
        <v>167</v>
      </c>
      <c r="AX25" s="0" t="s">
        <v>167</v>
      </c>
      <c r="AY25" s="0" t="s">
        <v>167</v>
      </c>
      <c r="AZ25" s="0" t="s">
        <v>167</v>
      </c>
      <c r="BA25" s="0" t="s">
        <v>167</v>
      </c>
      <c r="BB25" s="0" t="s">
        <v>167</v>
      </c>
      <c r="BC25" s="0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168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  <c r="BC3" s="1" t="s">
        <v>109</v>
      </c>
    </row>
    <row r="5" customFormat="false" ht="15" hidden="false" customHeight="false" outlineLevel="0" collapsed="false">
      <c r="A5" s="0" t="s">
        <v>169</v>
      </c>
      <c r="C5" s="0" t="n">
        <f aca="false">Revenue!C13</f>
        <v>0</v>
      </c>
      <c r="D5" s="0" t="n">
        <f aca="false">Revenue!D13</f>
        <v>0</v>
      </c>
      <c r="E5" s="0" t="n">
        <f aca="false">Revenue!E13</f>
        <v>0</v>
      </c>
      <c r="F5" s="0" t="n">
        <f aca="false">Revenue!F13</f>
        <v>4189.9275</v>
      </c>
      <c r="G5" s="0" t="n">
        <f aca="false">Revenue!G13</f>
        <v>4189.9275</v>
      </c>
      <c r="H5" s="0" t="n">
        <f aca="false">Revenue!H13</f>
        <v>4278.1365</v>
      </c>
      <c r="I5" s="0" t="n">
        <f aca="false">Revenue!I13</f>
        <v>4278.1365</v>
      </c>
      <c r="J5" s="0" t="n">
        <f aca="false">Revenue!J13</f>
        <v>4368.10968</v>
      </c>
      <c r="K5" s="0" t="n">
        <f aca="false">Revenue!K13</f>
        <v>4368.10968</v>
      </c>
      <c r="L5" s="0" t="n">
        <f aca="false">Revenue!L13</f>
        <v>4459.8823236</v>
      </c>
      <c r="M5" s="0" t="n">
        <f aca="false">Revenue!M13</f>
        <v>4459.8823236</v>
      </c>
      <c r="N5" s="0" t="n">
        <f aca="false">Revenue!N13</f>
        <v>4553.490420072</v>
      </c>
      <c r="O5" s="0" t="n">
        <f aca="false">Revenue!O13</f>
        <v>4553.490420072</v>
      </c>
      <c r="P5" s="0" t="n">
        <f aca="false">Revenue!P13</f>
        <v>4648.97067847344</v>
      </c>
      <c r="Q5" s="0" t="n">
        <f aca="false">Revenue!Q13</f>
        <v>4648.97067847344</v>
      </c>
      <c r="R5" s="0" t="n">
        <f aca="false">Revenue!R13</f>
        <v>4746.36054204291</v>
      </c>
      <c r="S5" s="0" t="n">
        <f aca="false">Revenue!S13</f>
        <v>4746.36054204291</v>
      </c>
      <c r="T5" s="0" t="n">
        <f aca="false">Revenue!T13</f>
        <v>4845.69820288377</v>
      </c>
      <c r="U5" s="0" t="n">
        <f aca="false">Revenue!U13</f>
        <v>4845.69820288377</v>
      </c>
      <c r="V5" s="0" t="n">
        <f aca="false">Revenue!V13</f>
        <v>4947.02261694144</v>
      </c>
      <c r="W5" s="0" t="n">
        <f aca="false">Revenue!W13</f>
        <v>4947.02261694144</v>
      </c>
      <c r="X5" s="0" t="n">
        <f aca="false">Revenue!X13</f>
        <v>5050.37351928027</v>
      </c>
      <c r="Y5" s="0" t="n">
        <f aca="false">Revenue!Y13</f>
        <v>5050.37351928027</v>
      </c>
      <c r="Z5" s="0" t="n">
        <f aca="false">Revenue!Z13</f>
        <v>5155.79143966588</v>
      </c>
      <c r="AA5" s="0" t="n">
        <f aca="false">Revenue!AA13</f>
        <v>5155.79143966588</v>
      </c>
      <c r="AB5" s="0" t="n">
        <f aca="false">Revenue!AB13</f>
        <v>5263.3177184592</v>
      </c>
      <c r="AC5" s="0" t="n">
        <f aca="false">Revenue!AC13</f>
        <v>5263.3177184592</v>
      </c>
      <c r="AD5" s="0" t="n">
        <f aca="false">Revenue!AD13</f>
        <v>5839.12094139741</v>
      </c>
      <c r="AE5" s="0" t="n">
        <f aca="false">Revenue!AE13</f>
        <v>5839.12094139741</v>
      </c>
      <c r="AF5" s="0" t="n">
        <f aca="false">Revenue!AF13</f>
        <v>5960.31381022536</v>
      </c>
      <c r="AG5" s="0" t="n">
        <f aca="false">Revenue!AG13</f>
        <v>5960.31381022536</v>
      </c>
      <c r="AH5" s="0" t="n">
        <f aca="false">Revenue!AH13</f>
        <v>6083.93053642987</v>
      </c>
      <c r="AI5" s="0" t="n">
        <f aca="false">Revenue!AI13</f>
        <v>6083.93053642987</v>
      </c>
      <c r="AJ5" s="0" t="n">
        <f aca="false">Revenue!AJ13</f>
        <v>6210.01959715846</v>
      </c>
      <c r="AK5" s="0" t="n">
        <f aca="false">Revenue!AK13</f>
        <v>6210.01959715846</v>
      </c>
      <c r="AL5" s="0" t="n">
        <f aca="false">Revenue!AL13</f>
        <v>6338.63043910163</v>
      </c>
      <c r="AM5" s="0" t="n">
        <f aca="false">Revenue!AM13</f>
        <v>6338.63043910163</v>
      </c>
      <c r="AN5" s="0" t="n">
        <f aca="false">Revenue!AN13</f>
        <v>6469.81349788367</v>
      </c>
      <c r="AO5" s="0" t="n">
        <f aca="false">Revenue!AO13</f>
        <v>6469.81349788367</v>
      </c>
      <c r="AP5" s="0" t="n">
        <f aca="false">Revenue!AP13</f>
        <v>6603.62021784134</v>
      </c>
      <c r="AQ5" s="0" t="n">
        <f aca="false">Revenue!AQ13</f>
        <v>6603.62021784134</v>
      </c>
      <c r="AR5" s="0" t="n">
        <f aca="false">Revenue!AR13</f>
        <v>6740.10307219817</v>
      </c>
      <c r="AS5" s="0" t="n">
        <f aca="false">Revenue!AS13</f>
        <v>6740.10307219817</v>
      </c>
      <c r="AT5" s="0" t="n">
        <f aca="false">Revenue!AT13</f>
        <v>6879.31558364213</v>
      </c>
      <c r="AU5" s="0" t="n">
        <f aca="false">Revenue!AU13</f>
        <v>6879.31558364213</v>
      </c>
      <c r="AV5" s="0" t="n">
        <f aca="false">Revenue!AV13</f>
        <v>7021.31234531497</v>
      </c>
      <c r="AW5" s="0" t="n">
        <f aca="false">Revenue!AW13</f>
        <v>7021.31234531497</v>
      </c>
      <c r="AX5" s="0" t="n">
        <f aca="false">Revenue!AX13</f>
        <v>7166.14904222127</v>
      </c>
      <c r="AY5" s="0" t="n">
        <f aca="false">Revenue!AY13</f>
        <v>7166.14904222127</v>
      </c>
      <c r="AZ5" s="0" t="n">
        <f aca="false">Revenue!AZ13</f>
        <v>7313.8824730657</v>
      </c>
      <c r="BA5" s="0" t="n">
        <f aca="false">Revenue!BA13</f>
        <v>7313.8824730657</v>
      </c>
      <c r="BB5" s="0" t="n">
        <f aca="false">Revenue!BB13</f>
        <v>7464.57057252701</v>
      </c>
      <c r="BC5" s="0" t="n">
        <f aca="false">Revenue!BC13</f>
        <v>7464.57057252701</v>
      </c>
    </row>
    <row r="6" customFormat="false" ht="15" hidden="false" customHeight="false" outlineLevel="0" collapsed="false">
      <c r="A6" s="0" t="s">
        <v>170</v>
      </c>
      <c r="C6" s="0" t="n">
        <f aca="false">OpEx!C10</f>
        <v>0</v>
      </c>
      <c r="D6" s="0" t="n">
        <f aca="false">OpEx!D10</f>
        <v>0</v>
      </c>
      <c r="E6" s="0" t="n">
        <f aca="false">OpEx!E10</f>
        <v>0</v>
      </c>
      <c r="F6" s="0" t="n">
        <f aca="false">OpEx!F10</f>
        <v>275</v>
      </c>
      <c r="G6" s="0" t="n">
        <f aca="false">OpEx!G10</f>
        <v>275</v>
      </c>
      <c r="H6" s="0" t="n">
        <f aca="false">OpEx!H10</f>
        <v>280.5</v>
      </c>
      <c r="I6" s="0" t="n">
        <f aca="false">OpEx!I10</f>
        <v>280.5</v>
      </c>
      <c r="J6" s="0" t="n">
        <f aca="false">OpEx!J10</f>
        <v>286.11</v>
      </c>
      <c r="K6" s="0" t="n">
        <f aca="false">OpEx!K10</f>
        <v>286.11</v>
      </c>
      <c r="L6" s="0" t="n">
        <f aca="false">OpEx!L10</f>
        <v>291.8322</v>
      </c>
      <c r="M6" s="0" t="n">
        <f aca="false">OpEx!M10</f>
        <v>291.8322</v>
      </c>
      <c r="N6" s="0" t="n">
        <f aca="false">OpEx!N10</f>
        <v>297.668844</v>
      </c>
      <c r="O6" s="0" t="n">
        <f aca="false">OpEx!O10</f>
        <v>297.668844</v>
      </c>
      <c r="P6" s="0" t="n">
        <f aca="false">OpEx!P10</f>
        <v>303.62222088</v>
      </c>
      <c r="Q6" s="0" t="n">
        <f aca="false">OpEx!Q10</f>
        <v>303.62222088</v>
      </c>
      <c r="R6" s="0" t="n">
        <f aca="false">OpEx!R10</f>
        <v>309.6946652976</v>
      </c>
      <c r="S6" s="0" t="n">
        <f aca="false">OpEx!S10</f>
        <v>309.6946652976</v>
      </c>
      <c r="T6" s="0" t="n">
        <f aca="false">OpEx!T10</f>
        <v>315.888558603552</v>
      </c>
      <c r="U6" s="0" t="n">
        <f aca="false">OpEx!U10</f>
        <v>315.888558603552</v>
      </c>
      <c r="V6" s="0" t="n">
        <f aca="false">OpEx!V10</f>
        <v>322.206329775623</v>
      </c>
      <c r="W6" s="0" t="n">
        <f aca="false">OpEx!W10</f>
        <v>322.206329775623</v>
      </c>
      <c r="X6" s="0" t="n">
        <f aca="false">OpEx!X10</f>
        <v>328.650456371136</v>
      </c>
      <c r="Y6" s="0" t="n">
        <f aca="false">OpEx!Y10</f>
        <v>328.650456371136</v>
      </c>
      <c r="Z6" s="0" t="n">
        <f aca="false">OpEx!Z10</f>
        <v>335.223465498558</v>
      </c>
      <c r="AA6" s="0" t="n">
        <f aca="false">OpEx!AA10</f>
        <v>335.223465498558</v>
      </c>
      <c r="AB6" s="0" t="n">
        <f aca="false">OpEx!AB10</f>
        <v>341.927934808529</v>
      </c>
      <c r="AC6" s="0" t="n">
        <f aca="false">OpEx!AC10</f>
        <v>341.927934808529</v>
      </c>
      <c r="AD6" s="0" t="n">
        <f aca="false">OpEx!AD10</f>
        <v>348.7664935047</v>
      </c>
      <c r="AE6" s="0" t="n">
        <f aca="false">OpEx!AE10</f>
        <v>348.7664935047</v>
      </c>
      <c r="AF6" s="0" t="n">
        <f aca="false">OpEx!AF10</f>
        <v>355.741823374794</v>
      </c>
      <c r="AG6" s="0" t="n">
        <f aca="false">OpEx!AG10</f>
        <v>355.741823374794</v>
      </c>
      <c r="AH6" s="0" t="n">
        <f aca="false">OpEx!AH10</f>
        <v>362.85665984229</v>
      </c>
      <c r="AI6" s="0" t="n">
        <f aca="false">OpEx!AI10</f>
        <v>362.85665984229</v>
      </c>
      <c r="AJ6" s="0" t="n">
        <f aca="false">OpEx!AJ10</f>
        <v>370.113793039136</v>
      </c>
      <c r="AK6" s="0" t="n">
        <f aca="false">OpEx!AK10</f>
        <v>370.113793039136</v>
      </c>
      <c r="AL6" s="0" t="n">
        <f aca="false">OpEx!AL10</f>
        <v>377.516068899918</v>
      </c>
      <c r="AM6" s="0" t="n">
        <f aca="false">OpEx!AM10</f>
        <v>377.516068899918</v>
      </c>
      <c r="AN6" s="0" t="n">
        <f aca="false">OpEx!AN10</f>
        <v>385.066390277917</v>
      </c>
      <c r="AO6" s="0" t="n">
        <f aca="false">OpEx!AO10</f>
        <v>385.066390277917</v>
      </c>
      <c r="AP6" s="0" t="n">
        <f aca="false">OpEx!AP10</f>
        <v>392.767718083475</v>
      </c>
      <c r="AQ6" s="0" t="n">
        <f aca="false">OpEx!AQ10</f>
        <v>392.767718083475</v>
      </c>
      <c r="AR6" s="0" t="n">
        <f aca="false">OpEx!AR10</f>
        <v>400.623072445145</v>
      </c>
      <c r="AS6" s="0" t="n">
        <f aca="false">OpEx!AS10</f>
        <v>400.623072445145</v>
      </c>
      <c r="AT6" s="0" t="n">
        <f aca="false">OpEx!AT10</f>
        <v>408.635533894048</v>
      </c>
      <c r="AU6" s="0" t="n">
        <f aca="false">OpEx!AU10</f>
        <v>408.635533894048</v>
      </c>
      <c r="AV6" s="0" t="n">
        <f aca="false">OpEx!AV10</f>
        <v>416.808244571929</v>
      </c>
      <c r="AW6" s="0" t="n">
        <f aca="false">OpEx!AW10</f>
        <v>416.808244571929</v>
      </c>
      <c r="AX6" s="0" t="n">
        <f aca="false">OpEx!AX10</f>
        <v>425.144409463367</v>
      </c>
      <c r="AY6" s="0" t="n">
        <f aca="false">OpEx!AY10</f>
        <v>425.144409463367</v>
      </c>
      <c r="AZ6" s="0" t="n">
        <f aca="false">OpEx!AZ10</f>
        <v>433.647297652635</v>
      </c>
      <c r="BA6" s="0" t="n">
        <f aca="false">OpEx!BA10</f>
        <v>433.647297652635</v>
      </c>
      <c r="BB6" s="0" t="n">
        <f aca="false">OpEx!BB10</f>
        <v>442.320243605687</v>
      </c>
      <c r="BC6" s="0" t="n">
        <f aca="false">OpEx!BC10</f>
        <v>442.320243605687</v>
      </c>
    </row>
    <row r="7" customFormat="false" ht="15" hidden="false" customHeight="false" outlineLevel="0" collapsed="false">
      <c r="A7" s="1" t="s">
        <v>171</v>
      </c>
      <c r="C7" s="1" t="n">
        <f aca="false">C5-C6</f>
        <v>0</v>
      </c>
      <c r="D7" s="1" t="n">
        <f aca="false">D5-D6</f>
        <v>0</v>
      </c>
      <c r="E7" s="1" t="n">
        <f aca="false">E5-E6</f>
        <v>0</v>
      </c>
      <c r="F7" s="1" t="n">
        <f aca="false">F5-F6</f>
        <v>3914.9275</v>
      </c>
      <c r="G7" s="1" t="n">
        <f aca="false">G5-G6</f>
        <v>3914.9275</v>
      </c>
      <c r="H7" s="1" t="n">
        <f aca="false">H5-H6</f>
        <v>3997.6365</v>
      </c>
      <c r="I7" s="1" t="n">
        <f aca="false">I5-I6</f>
        <v>3997.6365</v>
      </c>
      <c r="J7" s="1" t="n">
        <f aca="false">J5-J6</f>
        <v>4081.99968</v>
      </c>
      <c r="K7" s="1" t="n">
        <f aca="false">K5-K6</f>
        <v>4081.99968</v>
      </c>
      <c r="L7" s="1" t="n">
        <f aca="false">L5-L6</f>
        <v>4168.0501236</v>
      </c>
      <c r="M7" s="1" t="n">
        <f aca="false">M5-M6</f>
        <v>4168.0501236</v>
      </c>
      <c r="N7" s="1" t="n">
        <f aca="false">N5-N6</f>
        <v>4255.821576072</v>
      </c>
      <c r="O7" s="1" t="n">
        <f aca="false">O5-O6</f>
        <v>4255.821576072</v>
      </c>
      <c r="P7" s="1" t="n">
        <f aca="false">P5-P6</f>
        <v>4345.34845759344</v>
      </c>
      <c r="Q7" s="1" t="n">
        <f aca="false">Q5-Q6</f>
        <v>4345.34845759344</v>
      </c>
      <c r="R7" s="1" t="n">
        <f aca="false">R5-R6</f>
        <v>4436.66587674531</v>
      </c>
      <c r="S7" s="1" t="n">
        <f aca="false">S5-S6</f>
        <v>4436.66587674531</v>
      </c>
      <c r="T7" s="1" t="n">
        <f aca="false">T5-T6</f>
        <v>4529.80964428022</v>
      </c>
      <c r="U7" s="1" t="n">
        <f aca="false">U5-U6</f>
        <v>4529.80964428022</v>
      </c>
      <c r="V7" s="1" t="n">
        <f aca="false">V5-V6</f>
        <v>4624.81628716582</v>
      </c>
      <c r="W7" s="1" t="n">
        <f aca="false">W5-W6</f>
        <v>4624.81628716582</v>
      </c>
      <c r="X7" s="1" t="n">
        <f aca="false">X5-X6</f>
        <v>4721.72306290914</v>
      </c>
      <c r="Y7" s="1" t="n">
        <f aca="false">Y5-Y6</f>
        <v>4721.72306290914</v>
      </c>
      <c r="Z7" s="1" t="n">
        <f aca="false">Z5-Z6</f>
        <v>4820.56797416732</v>
      </c>
      <c r="AA7" s="1" t="n">
        <f aca="false">AA5-AA6</f>
        <v>4820.56797416732</v>
      </c>
      <c r="AB7" s="1" t="n">
        <f aca="false">AB5-AB6</f>
        <v>4921.38978365067</v>
      </c>
      <c r="AC7" s="1" t="n">
        <f aca="false">AC5-AC6</f>
        <v>4921.38978365067</v>
      </c>
      <c r="AD7" s="1" t="n">
        <f aca="false">AD5-AD6</f>
        <v>5490.35444789271</v>
      </c>
      <c r="AE7" s="1" t="n">
        <f aca="false">AE5-AE6</f>
        <v>5490.35444789271</v>
      </c>
      <c r="AF7" s="1" t="n">
        <f aca="false">AF5-AF6</f>
        <v>5604.57198685056</v>
      </c>
      <c r="AG7" s="1" t="n">
        <f aca="false">AG5-AG6</f>
        <v>5604.57198685056</v>
      </c>
      <c r="AH7" s="1" t="n">
        <f aca="false">AH5-AH6</f>
        <v>5721.07387658758</v>
      </c>
      <c r="AI7" s="1" t="n">
        <f aca="false">AI5-AI6</f>
        <v>5721.07387658758</v>
      </c>
      <c r="AJ7" s="1" t="n">
        <f aca="false">AJ5-AJ6</f>
        <v>5839.90580411933</v>
      </c>
      <c r="AK7" s="1" t="n">
        <f aca="false">AK5-AK6</f>
        <v>5839.90580411933</v>
      </c>
      <c r="AL7" s="1" t="n">
        <f aca="false">AL5-AL6</f>
        <v>5961.11437020171</v>
      </c>
      <c r="AM7" s="1" t="n">
        <f aca="false">AM5-AM6</f>
        <v>5961.11437020171</v>
      </c>
      <c r="AN7" s="1" t="n">
        <f aca="false">AN5-AN6</f>
        <v>6084.74710760575</v>
      </c>
      <c r="AO7" s="1" t="n">
        <f aca="false">AO5-AO6</f>
        <v>6084.74710760575</v>
      </c>
      <c r="AP7" s="1" t="n">
        <f aca="false">AP5-AP6</f>
        <v>6210.85249975787</v>
      </c>
      <c r="AQ7" s="1" t="n">
        <f aca="false">AQ5-AQ6</f>
        <v>6210.85249975787</v>
      </c>
      <c r="AR7" s="1" t="n">
        <f aca="false">AR5-AR6</f>
        <v>6339.47999975302</v>
      </c>
      <c r="AS7" s="1" t="n">
        <f aca="false">AS5-AS6</f>
        <v>6339.47999975302</v>
      </c>
      <c r="AT7" s="1" t="n">
        <f aca="false">AT5-AT6</f>
        <v>6470.68004974808</v>
      </c>
      <c r="AU7" s="1" t="n">
        <f aca="false">AU5-AU6</f>
        <v>6470.68004974808</v>
      </c>
      <c r="AV7" s="1" t="n">
        <f aca="false">AV5-AV6</f>
        <v>6604.50410074305</v>
      </c>
      <c r="AW7" s="1" t="n">
        <f aca="false">AW5-AW6</f>
        <v>6604.50410074305</v>
      </c>
      <c r="AX7" s="1" t="n">
        <f aca="false">AX5-AX6</f>
        <v>6741.0046327579</v>
      </c>
      <c r="AY7" s="1" t="n">
        <f aca="false">AY5-AY6</f>
        <v>6741.0046327579</v>
      </c>
      <c r="AZ7" s="1" t="n">
        <f aca="false">AZ5-AZ6</f>
        <v>6880.23517541306</v>
      </c>
      <c r="BA7" s="1" t="n">
        <f aca="false">BA5-BA6</f>
        <v>6880.23517541306</v>
      </c>
      <c r="BB7" s="1" t="n">
        <f aca="false">BB5-BB6</f>
        <v>7022.25032892132</v>
      </c>
      <c r="BC7" s="1" t="n">
        <f aca="false">BC5-BC6</f>
        <v>7022.25032892132</v>
      </c>
    </row>
    <row r="8" customFormat="false" ht="15" hidden="false" customHeight="false" outlineLevel="0" collapsed="false">
      <c r="A8" s="0" t="s">
        <v>172</v>
      </c>
      <c r="C8" s="0" t="n">
        <f aca="false">'Debt Service'!C9</f>
        <v>0</v>
      </c>
      <c r="D8" s="0" t="n">
        <f aca="false">'Debt Service'!D9</f>
        <v>0</v>
      </c>
      <c r="E8" s="0" t="n">
        <f aca="false">'Debt Service'!E9</f>
        <v>0</v>
      </c>
      <c r="F8" s="0" t="n">
        <f aca="false">'Debt Service'!F9</f>
        <v>1075</v>
      </c>
      <c r="G8" s="0" t="n">
        <f aca="false">'Debt Service'!G9</f>
        <v>1075</v>
      </c>
      <c r="H8" s="0" t="n">
        <f aca="false">'Debt Service'!H9</f>
        <v>1075</v>
      </c>
      <c r="I8" s="0" t="n">
        <f aca="false">'Debt Service'!I9</f>
        <v>1075</v>
      </c>
      <c r="J8" s="0" t="n">
        <f aca="false">'Debt Service'!J9</f>
        <v>1075</v>
      </c>
      <c r="K8" s="0" t="n">
        <f aca="false">'Debt Service'!K9</f>
        <v>1075</v>
      </c>
      <c r="L8" s="0" t="n">
        <f aca="false">'Debt Service'!L9</f>
        <v>1075</v>
      </c>
      <c r="M8" s="0" t="n">
        <f aca="false">'Debt Service'!M9</f>
        <v>1075</v>
      </c>
      <c r="N8" s="0" t="n">
        <f aca="false">'Debt Service'!N9</f>
        <v>1075</v>
      </c>
      <c r="O8" s="0" t="n">
        <f aca="false">'Debt Service'!O9</f>
        <v>1075</v>
      </c>
      <c r="P8" s="0" t="n">
        <f aca="false">'Debt Service'!P9</f>
        <v>1075</v>
      </c>
      <c r="Q8" s="0" t="n">
        <f aca="false">'Debt Service'!Q9</f>
        <v>1075</v>
      </c>
      <c r="R8" s="0" t="n">
        <f aca="false">'Debt Service'!R9</f>
        <v>1075</v>
      </c>
      <c r="S8" s="0" t="n">
        <f aca="false">'Debt Service'!S9</f>
        <v>1075</v>
      </c>
      <c r="T8" s="0" t="n">
        <f aca="false">'Debt Service'!T9</f>
        <v>1075</v>
      </c>
      <c r="U8" s="0" t="n">
        <f aca="false">'Debt Service'!U9</f>
        <v>1075</v>
      </c>
      <c r="V8" s="0" t="n">
        <f aca="false">'Debt Service'!V9</f>
        <v>1075</v>
      </c>
      <c r="W8" s="0" t="n">
        <f aca="false">'Debt Service'!W9</f>
        <v>1075</v>
      </c>
      <c r="X8" s="0" t="n">
        <f aca="false">'Debt Service'!X9</f>
        <v>1075</v>
      </c>
      <c r="Y8" s="0" t="n">
        <f aca="false">'Debt Service'!Y9</f>
        <v>1075</v>
      </c>
      <c r="Z8" s="0" t="n">
        <f aca="false">'Debt Service'!Z9</f>
        <v>1075</v>
      </c>
      <c r="AA8" s="0" t="n">
        <f aca="false">'Debt Service'!AA9</f>
        <v>1075</v>
      </c>
      <c r="AB8" s="0" t="n">
        <f aca="false">'Debt Service'!AB9</f>
        <v>1075</v>
      </c>
      <c r="AC8" s="0" t="n">
        <f aca="false">'Debt Service'!AC9</f>
        <v>1075</v>
      </c>
      <c r="AD8" s="0" t="n">
        <f aca="false">'Debt Service'!AD9</f>
        <v>1075</v>
      </c>
      <c r="AE8" s="0" t="n">
        <f aca="false">'Debt Service'!AE9</f>
        <v>1075</v>
      </c>
      <c r="AF8" s="0" t="n">
        <f aca="false">'Debt Service'!AF9</f>
        <v>1075</v>
      </c>
      <c r="AG8" s="0" t="n">
        <f aca="false">'Debt Service'!AG9</f>
        <v>1075</v>
      </c>
      <c r="AH8" s="0" t="n">
        <f aca="false">'Debt Service'!AH9</f>
        <v>1075</v>
      </c>
      <c r="AI8" s="0" t="n">
        <f aca="false">'Debt Service'!AI9</f>
        <v>1075</v>
      </c>
      <c r="AJ8" s="0" t="n">
        <f aca="false">'Debt Service'!AJ9</f>
        <v>1075</v>
      </c>
      <c r="AK8" s="0" t="n">
        <f aca="false">'Debt Service'!AK9</f>
        <v>1075</v>
      </c>
      <c r="AL8" s="0" t="n">
        <f aca="false">'Debt Service'!AL9</f>
        <v>1075</v>
      </c>
      <c r="AM8" s="0" t="n">
        <f aca="false">'Debt Service'!AM9</f>
        <v>1075</v>
      </c>
      <c r="AN8" s="0" t="n">
        <f aca="false">'Debt Service'!AN9</f>
        <v>1075</v>
      </c>
      <c r="AO8" s="0" t="n">
        <f aca="false">'Debt Service'!AO9</f>
        <v>1075</v>
      </c>
      <c r="AP8" s="0" t="n">
        <f aca="false">'Debt Service'!AP9</f>
        <v>1075</v>
      </c>
      <c r="AQ8" s="0" t="n">
        <f aca="false">'Debt Service'!AQ9</f>
        <v>1075</v>
      </c>
      <c r="AR8" s="0" t="n">
        <f aca="false">'Debt Service'!AR9</f>
        <v>1075</v>
      </c>
      <c r="AS8" s="0" t="n">
        <f aca="false">'Debt Service'!AS9</f>
        <v>1075</v>
      </c>
      <c r="AT8" s="0" t="n">
        <f aca="false">'Debt Service'!AT9</f>
        <v>0</v>
      </c>
      <c r="AU8" s="0" t="n">
        <f aca="false">'Debt Service'!AU9</f>
        <v>0</v>
      </c>
      <c r="AV8" s="0" t="n">
        <f aca="false">'Debt Service'!AV9</f>
        <v>0</v>
      </c>
      <c r="AW8" s="0" t="n">
        <f aca="false">'Debt Service'!AW9</f>
        <v>0</v>
      </c>
      <c r="AX8" s="0" t="n">
        <f aca="false">'Debt Service'!AX9</f>
        <v>0</v>
      </c>
      <c r="AY8" s="0" t="n">
        <f aca="false">'Debt Service'!AY9</f>
        <v>0</v>
      </c>
      <c r="AZ8" s="0" t="n">
        <f aca="false">'Debt Service'!AZ9</f>
        <v>0</v>
      </c>
      <c r="BA8" s="0" t="n">
        <f aca="false">'Debt Service'!BA9</f>
        <v>0</v>
      </c>
      <c r="BB8" s="0" t="n">
        <f aca="false">'Debt Service'!BB9</f>
        <v>0</v>
      </c>
      <c r="BC8" s="0" t="n">
        <f aca="false">'Debt Service'!BC9</f>
        <v>0</v>
      </c>
    </row>
    <row r="9" customFormat="false" ht="15" hidden="false" customHeight="false" outlineLevel="0" collapsed="false">
      <c r="A9" s="0" t="s">
        <v>173</v>
      </c>
      <c r="C9" s="0" t="n">
        <f aca="false">'Debt Service'!C21</f>
        <v>0</v>
      </c>
      <c r="D9" s="0" t="n">
        <f aca="false">'Debt Service'!D21</f>
        <v>0</v>
      </c>
      <c r="E9" s="0" t="n">
        <f aca="false">'Debt Service'!E21</f>
        <v>0</v>
      </c>
      <c r="F9" s="7" t="n">
        <f aca="false">'Debt Service'!F21</f>
        <v>886.875</v>
      </c>
      <c r="G9" s="7" t="n">
        <f aca="false">'Debt Service'!G21</f>
        <v>872.898532094377</v>
      </c>
      <c r="H9" s="7" t="n">
        <f aca="false">'Debt Service'!H21</f>
        <v>858.53771132135</v>
      </c>
      <c r="I9" s="7" t="n">
        <f aca="false">'Debt Service'!I21</f>
        <v>843.039402807729</v>
      </c>
      <c r="J9" s="7" t="n">
        <f aca="false">'Debt Service'!J21</f>
        <v>827.114890809983</v>
      </c>
      <c r="K9" s="7" t="n">
        <f aca="false">'Debt Service'!K21</f>
        <v>809.995038259577</v>
      </c>
      <c r="L9" s="7" t="n">
        <f aca="false">'Debt Service'!L21</f>
        <v>792.404389764035</v>
      </c>
      <c r="M9" s="7" t="n">
        <f aca="false">'Debt Service'!M21</f>
        <v>773.557433632689</v>
      </c>
      <c r="N9" s="7" t="n">
        <f aca="false">'Debt Service'!N21</f>
        <v>754.192186207731</v>
      </c>
      <c r="O9" s="7" t="n">
        <f aca="false">'Debt Service'!O21</f>
        <v>733.506378380367</v>
      </c>
      <c r="P9" s="7" t="n">
        <f aca="false">'Debt Service'!P21</f>
        <v>712.25171083775</v>
      </c>
      <c r="Q9" s="7" t="n">
        <f aca="false">'Debt Service'!Q21</f>
        <v>689.608763517526</v>
      </c>
      <c r="R9" s="7" t="n">
        <f aca="false">'Debt Service'!R21</f>
        <v>666.343135145997</v>
      </c>
      <c r="S9" s="7" t="n">
        <f aca="false">'Debt Service'!S21</f>
        <v>641.617850045662</v>
      </c>
      <c r="T9" s="7" t="n">
        <f aca="false">'Debt Service'!T21</f>
        <v>616.212619605068</v>
      </c>
      <c r="U9" s="7" t="n">
        <f aca="false">'Debt Service'!U21</f>
        <v>589.272496339797</v>
      </c>
      <c r="V9" s="7" t="n">
        <f aca="false">'Debt Service'!V21</f>
        <v>561.591519684732</v>
      </c>
      <c r="W9" s="7" t="n">
        <f aca="false">'Debt Service'!W21</f>
        <v>532.296342204341</v>
      </c>
      <c r="X9" s="7" t="n">
        <f aca="false">'Debt Service'!X21</f>
        <v>502.195547343239</v>
      </c>
      <c r="Y9" s="7" t="n">
        <f aca="false">'Debt Service'!Y21</f>
        <v>470.3969471768</v>
      </c>
      <c r="Z9" s="7" t="n">
        <f aca="false">'Debt Service'!Z21</f>
        <v>437.723885505784</v>
      </c>
      <c r="AA9" s="7" t="n">
        <f aca="false">'Debt Service'!AA21</f>
        <v>403.264880523224</v>
      </c>
      <c r="AB9" s="7" t="n">
        <f aca="false">'Debt Service'!AB21</f>
        <v>367.858252903643</v>
      </c>
      <c r="AC9" s="7" t="n">
        <f aca="false">'Debt Service'!AC21</f>
        <v>330.572760226622</v>
      </c>
      <c r="AD9" s="7" t="n">
        <f aca="false">'Debt Service'!AD21</f>
        <v>292.261916500983</v>
      </c>
      <c r="AE9" s="7" t="n">
        <f aca="false">'Debt Service'!AE21</f>
        <v>247.789333901393</v>
      </c>
      <c r="AF9" s="7" t="n">
        <f aca="false">'Debt Service'!AF21</f>
        <v>202.093755280314</v>
      </c>
      <c r="AG9" s="7" t="n">
        <f aca="false">'Debt Service'!AG21</f>
        <v>154.116097979865</v>
      </c>
      <c r="AH9" s="7" t="n">
        <f aca="false">'Debt Service'!AH21</f>
        <v>104.819055103653</v>
      </c>
      <c r="AI9" s="7" t="n">
        <f aca="false">'Debt Service'!AI21</f>
        <v>53.1203842757096</v>
      </c>
      <c r="AJ9" s="8" t="n">
        <f aca="false">'Debt Service'!AJ21</f>
        <v>0</v>
      </c>
      <c r="AK9" s="8" t="n">
        <f aca="false">'Debt Service'!AK21</f>
        <v>0</v>
      </c>
      <c r="AL9" s="8" t="n">
        <f aca="false">'Debt Service'!AL21</f>
        <v>0</v>
      </c>
      <c r="AM9" s="8" t="n">
        <f aca="false">'Debt Service'!AM21</f>
        <v>0</v>
      </c>
      <c r="AN9" s="8" t="n">
        <f aca="false">'Debt Service'!AN21</f>
        <v>0</v>
      </c>
      <c r="AO9" s="8" t="n">
        <f aca="false">'Debt Service'!AO21</f>
        <v>0</v>
      </c>
      <c r="AP9" s="8" t="n">
        <f aca="false">'Debt Service'!AP21</f>
        <v>0</v>
      </c>
      <c r="AQ9" s="8" t="n">
        <f aca="false">'Debt Service'!AQ21</f>
        <v>0</v>
      </c>
      <c r="AR9" s="8" t="n">
        <f aca="false">'Debt Service'!AR21</f>
        <v>0</v>
      </c>
      <c r="AS9" s="8" t="n">
        <f aca="false">'Debt Service'!AS21</f>
        <v>0</v>
      </c>
      <c r="AT9" s="8" t="n">
        <f aca="false">'Debt Service'!AT21</f>
        <v>0</v>
      </c>
      <c r="AU9" s="8" t="n">
        <f aca="false">'Debt Service'!AU21</f>
        <v>0</v>
      </c>
      <c r="AV9" s="8" t="n">
        <f aca="false">'Debt Service'!AV21</f>
        <v>0</v>
      </c>
      <c r="AW9" s="8" t="n">
        <f aca="false">'Debt Service'!AW21</f>
        <v>0</v>
      </c>
      <c r="AX9" s="8" t="n">
        <f aca="false">'Debt Service'!AX21</f>
        <v>0</v>
      </c>
      <c r="AY9" s="8" t="n">
        <f aca="false">'Debt Service'!AY21</f>
        <v>0</v>
      </c>
      <c r="AZ9" s="8" t="n">
        <f aca="false">'Debt Service'!AZ21</f>
        <v>0</v>
      </c>
      <c r="BA9" s="8" t="n">
        <f aca="false">'Debt Service'!BA21</f>
        <v>0</v>
      </c>
      <c r="BB9" s="8" t="n">
        <f aca="false">'Debt Service'!BB21</f>
        <v>0</v>
      </c>
      <c r="BC9" s="8" t="n">
        <f aca="false">'Debt Service'!BC21</f>
        <v>0</v>
      </c>
    </row>
    <row r="10" customFormat="false" ht="15" hidden="false" customHeight="false" outlineLevel="0" collapsed="false">
      <c r="A10" s="0" t="s">
        <v>174</v>
      </c>
      <c r="C10" s="0" t="n">
        <f aca="false">C7-C8-C9</f>
        <v>0</v>
      </c>
      <c r="D10" s="0" t="n">
        <f aca="false">D7-D8-D9</f>
        <v>0</v>
      </c>
      <c r="E10" s="0" t="n">
        <f aca="false">E7-E8-E9</f>
        <v>0</v>
      </c>
      <c r="F10" s="7" t="n">
        <f aca="false">F7-F8-F9</f>
        <v>1953.0525</v>
      </c>
      <c r="G10" s="7" t="n">
        <f aca="false">G7-G8-G9</f>
        <v>1967.02896790562</v>
      </c>
      <c r="H10" s="7" t="n">
        <f aca="false">H7-H8-H9</f>
        <v>2064.09878867865</v>
      </c>
      <c r="I10" s="7" t="n">
        <f aca="false">I7-I8-I9</f>
        <v>2079.59709719227</v>
      </c>
      <c r="J10" s="7" t="n">
        <f aca="false">J7-J8-J9</f>
        <v>2179.88478919002</v>
      </c>
      <c r="K10" s="7" t="n">
        <f aca="false">K7-K8-K9</f>
        <v>2197.00464174042</v>
      </c>
      <c r="L10" s="7" t="n">
        <f aca="false">L7-L8-L9</f>
        <v>2300.64573383597</v>
      </c>
      <c r="M10" s="7" t="n">
        <f aca="false">M7-M8-M9</f>
        <v>2319.49268996731</v>
      </c>
      <c r="N10" s="7" t="n">
        <f aca="false">N7-N8-N9</f>
        <v>2426.62938986427</v>
      </c>
      <c r="O10" s="7" t="n">
        <f aca="false">O7-O8-O9</f>
        <v>2447.31519769163</v>
      </c>
      <c r="P10" s="7" t="n">
        <f aca="false">P7-P8-P9</f>
        <v>2558.09674675569</v>
      </c>
      <c r="Q10" s="7" t="n">
        <f aca="false">Q7-Q8-Q9</f>
        <v>2580.73969407591</v>
      </c>
      <c r="R10" s="7" t="n">
        <f aca="false">R7-R8-R9</f>
        <v>2695.32274159931</v>
      </c>
      <c r="S10" s="7" t="n">
        <f aca="false">S7-S8-S9</f>
        <v>2720.04802669965</v>
      </c>
      <c r="T10" s="7" t="n">
        <f aca="false">T7-T8-T9</f>
        <v>2838.59702467515</v>
      </c>
      <c r="U10" s="7" t="n">
        <f aca="false">U7-U8-U9</f>
        <v>2865.53714794042</v>
      </c>
      <c r="V10" s="7" t="n">
        <f aca="false">V7-V8-V9</f>
        <v>2988.22476748109</v>
      </c>
      <c r="W10" s="7" t="n">
        <f aca="false">W7-W8-W9</f>
        <v>3017.51994496148</v>
      </c>
      <c r="X10" s="7" t="n">
        <f aca="false">X7-X8-X9</f>
        <v>3144.5275155659</v>
      </c>
      <c r="Y10" s="7" t="n">
        <f aca="false">Y7-Y8-Y9</f>
        <v>3176.32611573234</v>
      </c>
      <c r="Z10" s="7" t="n">
        <f aca="false">Z7-Z8-Z9</f>
        <v>3307.84408866154</v>
      </c>
      <c r="AA10" s="7" t="n">
        <f aca="false">AA7-AA8-AA9</f>
        <v>3342.3030936441</v>
      </c>
      <c r="AB10" s="7" t="n">
        <f aca="false">AB7-AB8-AB9</f>
        <v>3478.53153074702</v>
      </c>
      <c r="AC10" s="7" t="n">
        <f aca="false">AC7-AC8-AC9</f>
        <v>3515.81702342404</v>
      </c>
      <c r="AD10" s="7" t="n">
        <f aca="false">AD7-AD8-AD9</f>
        <v>4123.09253139173</v>
      </c>
      <c r="AE10" s="7" t="n">
        <f aca="false">AE7-AE8-AE9</f>
        <v>4167.56511399132</v>
      </c>
      <c r="AF10" s="7" t="n">
        <f aca="false">AF7-AF8-AF9</f>
        <v>4327.47823157025</v>
      </c>
      <c r="AG10" s="7" t="n">
        <f aca="false">AG7-AG8-AG9</f>
        <v>4375.4558888707</v>
      </c>
      <c r="AH10" s="7" t="n">
        <f aca="false">AH7-AH8-AH9</f>
        <v>4541.25482148392</v>
      </c>
      <c r="AI10" s="7" t="n">
        <f aca="false">AI7-AI8-AI9</f>
        <v>4592.95349231187</v>
      </c>
      <c r="AJ10" s="8" t="n">
        <f aca="false">AJ7-AJ8-AJ9</f>
        <v>4764.90580411933</v>
      </c>
      <c r="AK10" s="8" t="n">
        <f aca="false">AK7-AK8-AK9</f>
        <v>4764.90580411933</v>
      </c>
      <c r="AL10" s="8" t="n">
        <f aca="false">AL7-AL8-AL9</f>
        <v>4886.11437020171</v>
      </c>
      <c r="AM10" s="8" t="n">
        <f aca="false">AM7-AM8-AM9</f>
        <v>4886.11437020171</v>
      </c>
      <c r="AN10" s="8" t="n">
        <f aca="false">AN7-AN8-AN9</f>
        <v>5009.74710760575</v>
      </c>
      <c r="AO10" s="8" t="n">
        <f aca="false">AO7-AO8-AO9</f>
        <v>5009.74710760575</v>
      </c>
      <c r="AP10" s="8" t="n">
        <f aca="false">AP7-AP8-AP9</f>
        <v>5135.85249975787</v>
      </c>
      <c r="AQ10" s="8" t="n">
        <f aca="false">AQ7-AQ8-AQ9</f>
        <v>5135.85249975787</v>
      </c>
      <c r="AR10" s="8" t="n">
        <f aca="false">AR7-AR8-AR9</f>
        <v>5264.47999975302</v>
      </c>
      <c r="AS10" s="8" t="n">
        <f aca="false">AS7-AS8-AS9</f>
        <v>5264.47999975302</v>
      </c>
      <c r="AT10" s="8" t="n">
        <f aca="false">AT7-AT8-AT9</f>
        <v>6470.68004974808</v>
      </c>
      <c r="AU10" s="8" t="n">
        <f aca="false">AU7-AU8-AU9</f>
        <v>6470.68004974808</v>
      </c>
      <c r="AV10" s="8" t="n">
        <f aca="false">AV7-AV8-AV9</f>
        <v>6604.50410074305</v>
      </c>
      <c r="AW10" s="8" t="n">
        <f aca="false">AW7-AW8-AW9</f>
        <v>6604.50410074305</v>
      </c>
      <c r="AX10" s="8" t="n">
        <f aca="false">AX7-AX8-AX9</f>
        <v>6741.0046327579</v>
      </c>
      <c r="AY10" s="8" t="n">
        <f aca="false">AY7-AY8-AY9</f>
        <v>6741.0046327579</v>
      </c>
      <c r="AZ10" s="8" t="n">
        <f aca="false">AZ7-AZ8-AZ9</f>
        <v>6880.23517541306</v>
      </c>
      <c r="BA10" s="8" t="n">
        <f aca="false">BA7-BA8-BA9</f>
        <v>6880.23517541306</v>
      </c>
      <c r="BB10" s="8" t="n">
        <f aca="false">BB7-BB8-BB9</f>
        <v>7022.25032892132</v>
      </c>
      <c r="BC10" s="8" t="n">
        <f aca="false">BC7-BC8-BC9</f>
        <v>7022.25032892132</v>
      </c>
    </row>
    <row r="11" customFormat="false" ht="15" hidden="false" customHeight="false" outlineLevel="0" collapsed="false">
      <c r="A11" s="0" t="s">
        <v>175</v>
      </c>
      <c r="C11" s="0" t="n">
        <v>0</v>
      </c>
      <c r="D11" s="0" t="n">
        <f aca="false">C13</f>
        <v>0</v>
      </c>
      <c r="E11" s="0" t="n">
        <f aca="false">D13</f>
        <v>0</v>
      </c>
      <c r="F11" s="0" t="n">
        <f aca="false">E13</f>
        <v>0</v>
      </c>
      <c r="G11" s="0" t="n">
        <f aca="false">F13</f>
        <v>0</v>
      </c>
      <c r="H11" s="0" t="n">
        <f aca="false">G13</f>
        <v>0</v>
      </c>
      <c r="I11" s="0" t="n">
        <f aca="false">H13</f>
        <v>0</v>
      </c>
      <c r="J11" s="0" t="n">
        <f aca="false">I13</f>
        <v>0</v>
      </c>
      <c r="K11" s="0" t="n">
        <f aca="false">J13</f>
        <v>0</v>
      </c>
      <c r="L11" s="0" t="n">
        <f aca="false">K13</f>
        <v>0</v>
      </c>
      <c r="M11" s="0" t="n">
        <f aca="false">L13</f>
        <v>0</v>
      </c>
      <c r="N11" s="0" t="n">
        <f aca="false">M13</f>
        <v>0</v>
      </c>
      <c r="O11" s="0" t="n">
        <f aca="false">N13</f>
        <v>0</v>
      </c>
      <c r="P11" s="0" t="n">
        <f aca="false">O13</f>
        <v>0</v>
      </c>
      <c r="Q11" s="0" t="n">
        <f aca="false">P13</f>
        <v>0</v>
      </c>
      <c r="R11" s="0" t="n">
        <f aca="false">Q13</f>
        <v>0</v>
      </c>
      <c r="S11" s="0" t="n">
        <f aca="false">R13</f>
        <v>0</v>
      </c>
      <c r="T11" s="0" t="n">
        <f aca="false">S13</f>
        <v>0</v>
      </c>
      <c r="U11" s="0" t="n">
        <f aca="false">T13</f>
        <v>0</v>
      </c>
      <c r="V11" s="0" t="n">
        <f aca="false">U13</f>
        <v>0</v>
      </c>
      <c r="W11" s="0" t="n">
        <f aca="false">V13</f>
        <v>0</v>
      </c>
      <c r="X11" s="0" t="n">
        <f aca="false">W13</f>
        <v>0</v>
      </c>
      <c r="Y11" s="0" t="n">
        <f aca="false">X13</f>
        <v>0</v>
      </c>
      <c r="Z11" s="0" t="n">
        <f aca="false">Y13</f>
        <v>0</v>
      </c>
      <c r="AA11" s="0" t="n">
        <f aca="false">Z13</f>
        <v>0</v>
      </c>
      <c r="AB11" s="0" t="n">
        <f aca="false">AA13</f>
        <v>0</v>
      </c>
      <c r="AC11" s="0" t="n">
        <f aca="false">AB13</f>
        <v>0</v>
      </c>
      <c r="AD11" s="0" t="n">
        <f aca="false">AC13</f>
        <v>0</v>
      </c>
      <c r="AE11" s="0" t="n">
        <f aca="false">AD13</f>
        <v>0</v>
      </c>
      <c r="AF11" s="0" t="n">
        <f aca="false">AE13</f>
        <v>0</v>
      </c>
      <c r="AG11" s="0" t="n">
        <f aca="false">AF13</f>
        <v>0</v>
      </c>
      <c r="AH11" s="0" t="n">
        <f aca="false">AG13</f>
        <v>0</v>
      </c>
      <c r="AI11" s="0" t="n">
        <f aca="false">AH13</f>
        <v>0</v>
      </c>
      <c r="AJ11" s="0" t="n">
        <f aca="false">AI13</f>
        <v>0</v>
      </c>
      <c r="AK11" s="0" t="n">
        <f aca="false">AJ13</f>
        <v>0</v>
      </c>
      <c r="AL11" s="0" t="n">
        <f aca="false">AK13</f>
        <v>0</v>
      </c>
      <c r="AM11" s="0" t="n">
        <f aca="false">AL13</f>
        <v>0</v>
      </c>
      <c r="AN11" s="0" t="n">
        <f aca="false">AM13</f>
        <v>0</v>
      </c>
      <c r="AO11" s="0" t="n">
        <f aca="false">AN13</f>
        <v>0</v>
      </c>
      <c r="AP11" s="0" t="n">
        <f aca="false">AO13</f>
        <v>0</v>
      </c>
      <c r="AQ11" s="0" t="n">
        <f aca="false">AP13</f>
        <v>0</v>
      </c>
      <c r="AR11" s="0" t="n">
        <f aca="false">AQ13</f>
        <v>0</v>
      </c>
      <c r="AS11" s="0" t="n">
        <f aca="false">AR13</f>
        <v>0</v>
      </c>
      <c r="AT11" s="0" t="n">
        <f aca="false">AS13</f>
        <v>0</v>
      </c>
      <c r="AU11" s="0" t="n">
        <f aca="false">AT13</f>
        <v>0</v>
      </c>
      <c r="AV11" s="0" t="n">
        <f aca="false">AU13</f>
        <v>0</v>
      </c>
      <c r="AW11" s="0" t="n">
        <f aca="false">AV13</f>
        <v>0</v>
      </c>
      <c r="AX11" s="0" t="n">
        <f aca="false">AW13</f>
        <v>0</v>
      </c>
      <c r="AY11" s="0" t="n">
        <f aca="false">AX13</f>
        <v>0</v>
      </c>
      <c r="AZ11" s="0" t="n">
        <f aca="false">AY13</f>
        <v>0</v>
      </c>
      <c r="BA11" s="0" t="n">
        <f aca="false">AZ13</f>
        <v>0</v>
      </c>
      <c r="BB11" s="0" t="n">
        <f aca="false">BA13</f>
        <v>0</v>
      </c>
      <c r="BC11" s="0" t="n">
        <f aca="false">BB13</f>
        <v>0</v>
      </c>
    </row>
    <row r="12" customFormat="false" ht="15" hidden="false" customHeight="false" outlineLevel="0" collapsed="false">
      <c r="A12" s="0" t="s">
        <v>176</v>
      </c>
      <c r="C12" s="0" t="n">
        <f aca="false">IF(C10&lt;0,0,MIN(C11,C10))</f>
        <v>0</v>
      </c>
      <c r="D12" s="0" t="n">
        <f aca="false">IF(D10&lt;0,0,MIN(D11,D10))</f>
        <v>0</v>
      </c>
      <c r="E12" s="0" t="n">
        <f aca="false">IF(E10&lt;0,0,MIN(E11,E10))</f>
        <v>0</v>
      </c>
      <c r="F12" s="0" t="n">
        <f aca="false">IF(F10&lt;0,0,MIN(F11,F10))</f>
        <v>0</v>
      </c>
      <c r="G12" s="0" t="n">
        <f aca="false">IF(G10&lt;0,0,MIN(G11,G10))</f>
        <v>0</v>
      </c>
      <c r="H12" s="0" t="n">
        <f aca="false">IF(H10&lt;0,0,MIN(H11,H10))</f>
        <v>0</v>
      </c>
      <c r="I12" s="0" t="n">
        <f aca="false">IF(I10&lt;0,0,MIN(I11,I10))</f>
        <v>0</v>
      </c>
      <c r="J12" s="0" t="n">
        <f aca="false">IF(J10&lt;0,0,MIN(J11,J10))</f>
        <v>0</v>
      </c>
      <c r="K12" s="0" t="n">
        <f aca="false">IF(K10&lt;0,0,MIN(K11,K10))</f>
        <v>0</v>
      </c>
      <c r="L12" s="0" t="n">
        <f aca="false">IF(L10&lt;0,0,MIN(L11,L10))</f>
        <v>0</v>
      </c>
      <c r="M12" s="0" t="n">
        <f aca="false">IF(M10&lt;0,0,MIN(M11,M10))</f>
        <v>0</v>
      </c>
      <c r="N12" s="0" t="n">
        <f aca="false">IF(N10&lt;0,0,MIN(N11,N10))</f>
        <v>0</v>
      </c>
      <c r="O12" s="0" t="n">
        <f aca="false">IF(O10&lt;0,0,MIN(O11,O10))</f>
        <v>0</v>
      </c>
      <c r="P12" s="0" t="n">
        <f aca="false">IF(P10&lt;0,0,MIN(P11,P10))</f>
        <v>0</v>
      </c>
      <c r="Q12" s="0" t="n">
        <f aca="false">IF(Q10&lt;0,0,MIN(Q11,Q10))</f>
        <v>0</v>
      </c>
      <c r="R12" s="0" t="n">
        <f aca="false">IF(R10&lt;0,0,MIN(R11,R10))</f>
        <v>0</v>
      </c>
      <c r="S12" s="0" t="n">
        <f aca="false">IF(S10&lt;0,0,MIN(S11,S10))</f>
        <v>0</v>
      </c>
      <c r="T12" s="0" t="n">
        <f aca="false">IF(T10&lt;0,0,MIN(T11,T10))</f>
        <v>0</v>
      </c>
      <c r="U12" s="0" t="n">
        <f aca="false">IF(U10&lt;0,0,MIN(U11,U10))</f>
        <v>0</v>
      </c>
      <c r="V12" s="0" t="n">
        <f aca="false">IF(V10&lt;0,0,MIN(V11,V10))</f>
        <v>0</v>
      </c>
      <c r="W12" s="0" t="n">
        <f aca="false">IF(W10&lt;0,0,MIN(W11,W10))</f>
        <v>0</v>
      </c>
      <c r="X12" s="0" t="n">
        <f aca="false">IF(X10&lt;0,0,MIN(X11,X10))</f>
        <v>0</v>
      </c>
      <c r="Y12" s="0" t="n">
        <f aca="false">IF(Y10&lt;0,0,MIN(Y11,Y10))</f>
        <v>0</v>
      </c>
      <c r="Z12" s="0" t="n">
        <f aca="false">IF(Z10&lt;0,0,MIN(Z11,Z10))</f>
        <v>0</v>
      </c>
      <c r="AA12" s="0" t="n">
        <f aca="false">IF(AA10&lt;0,0,MIN(AA11,AA10))</f>
        <v>0</v>
      </c>
      <c r="AB12" s="0" t="n">
        <f aca="false">IF(AB10&lt;0,0,MIN(AB11,AB10))</f>
        <v>0</v>
      </c>
      <c r="AC12" s="0" t="n">
        <f aca="false">IF(AC10&lt;0,0,MIN(AC11,AC10))</f>
        <v>0</v>
      </c>
      <c r="AD12" s="0" t="n">
        <f aca="false">IF(AD10&lt;0,0,MIN(AD11,AD10))</f>
        <v>0</v>
      </c>
      <c r="AE12" s="0" t="n">
        <f aca="false">IF(AE10&lt;0,0,MIN(AE11,AE10))</f>
        <v>0</v>
      </c>
      <c r="AF12" s="0" t="n">
        <f aca="false">IF(AF10&lt;0,0,MIN(AF11,AF10))</f>
        <v>0</v>
      </c>
      <c r="AG12" s="0" t="n">
        <f aca="false">IF(AG10&lt;0,0,MIN(AG11,AG10))</f>
        <v>0</v>
      </c>
      <c r="AH12" s="0" t="n">
        <f aca="false">IF(AH10&lt;0,0,MIN(AH11,AH10))</f>
        <v>0</v>
      </c>
      <c r="AI12" s="0" t="n">
        <f aca="false">IF(AI10&lt;0,0,MIN(AI11,AI10))</f>
        <v>0</v>
      </c>
      <c r="AJ12" s="0" t="n">
        <f aca="false">IF(AJ10&lt;0,0,MIN(AJ11,AJ10))</f>
        <v>0</v>
      </c>
      <c r="AK12" s="0" t="n">
        <f aca="false">IF(AK10&lt;0,0,MIN(AK11,AK10))</f>
        <v>0</v>
      </c>
      <c r="AL12" s="0" t="n">
        <f aca="false">IF(AL10&lt;0,0,MIN(AL11,AL10))</f>
        <v>0</v>
      </c>
      <c r="AM12" s="0" t="n">
        <f aca="false">IF(AM10&lt;0,0,MIN(AM11,AM10))</f>
        <v>0</v>
      </c>
      <c r="AN12" s="0" t="n">
        <f aca="false">IF(AN10&lt;0,0,MIN(AN11,AN10))</f>
        <v>0</v>
      </c>
      <c r="AO12" s="0" t="n">
        <f aca="false">IF(AO10&lt;0,0,MIN(AO11,AO10))</f>
        <v>0</v>
      </c>
      <c r="AP12" s="0" t="n">
        <f aca="false">IF(AP10&lt;0,0,MIN(AP11,AP10))</f>
        <v>0</v>
      </c>
      <c r="AQ12" s="0" t="n">
        <f aca="false">IF(AQ10&lt;0,0,MIN(AQ11,AQ10))</f>
        <v>0</v>
      </c>
      <c r="AR12" s="0" t="n">
        <f aca="false">IF(AR10&lt;0,0,MIN(AR11,AR10))</f>
        <v>0</v>
      </c>
      <c r="AS12" s="0" t="n">
        <f aca="false">IF(AS10&lt;0,0,MIN(AS11,AS10))</f>
        <v>0</v>
      </c>
      <c r="AT12" s="0" t="n">
        <f aca="false">IF(AT10&lt;0,0,MIN(AT11,AT10))</f>
        <v>0</v>
      </c>
      <c r="AU12" s="0" t="n">
        <f aca="false">IF(AU10&lt;0,0,MIN(AU11,AU10))</f>
        <v>0</v>
      </c>
      <c r="AV12" s="0" t="n">
        <f aca="false">IF(AV10&lt;0,0,MIN(AV11,AV10))</f>
        <v>0</v>
      </c>
      <c r="AW12" s="0" t="n">
        <f aca="false">IF(AW10&lt;0,0,MIN(AW11,AW10))</f>
        <v>0</v>
      </c>
      <c r="AX12" s="0" t="n">
        <f aca="false">IF(AX10&lt;0,0,MIN(AX11,AX10))</f>
        <v>0</v>
      </c>
      <c r="AY12" s="0" t="n">
        <f aca="false">IF(AY10&lt;0,0,MIN(AY11,AY10))</f>
        <v>0</v>
      </c>
      <c r="AZ12" s="0" t="n">
        <f aca="false">IF(AZ10&lt;0,0,MIN(AZ11,AZ10))</f>
        <v>0</v>
      </c>
      <c r="BA12" s="0" t="n">
        <f aca="false">IF(BA10&lt;0,0,MIN(BA11,BA10))</f>
        <v>0</v>
      </c>
      <c r="BB12" s="0" t="n">
        <f aca="false">IF(BB10&lt;0,0,MIN(BB11,BB10))</f>
        <v>0</v>
      </c>
      <c r="BC12" s="0" t="n">
        <f aca="false">IF(BC10&lt;0,0,MIN(BC11,BC10))</f>
        <v>0</v>
      </c>
    </row>
    <row r="13" customFormat="false" ht="15" hidden="false" customHeight="false" outlineLevel="0" collapsed="false">
      <c r="A13" s="0" t="s">
        <v>177</v>
      </c>
      <c r="C13" s="0" t="n">
        <f aca="false">C11-C12+IF(C10&lt;0,-C10,0)</f>
        <v>0</v>
      </c>
      <c r="D13" s="0" t="n">
        <f aca="false">D11-D12+IF(D10&lt;0,-D10,0)</f>
        <v>0</v>
      </c>
      <c r="E13" s="0" t="n">
        <f aca="false">E11-E12+IF(E10&lt;0,-E10,0)</f>
        <v>0</v>
      </c>
      <c r="F13" s="0" t="n">
        <f aca="false">F11-F12+IF(F10&lt;0,-F10,0)</f>
        <v>0</v>
      </c>
      <c r="G13" s="0" t="n">
        <f aca="false">G11-G12+IF(G10&lt;0,-G10,0)</f>
        <v>0</v>
      </c>
      <c r="H13" s="0" t="n">
        <f aca="false">H11-H12+IF(H10&lt;0,-H10,0)</f>
        <v>0</v>
      </c>
      <c r="I13" s="0" t="n">
        <f aca="false">I11-I12+IF(I10&lt;0,-I10,0)</f>
        <v>0</v>
      </c>
      <c r="J13" s="0" t="n">
        <f aca="false">J11-J12+IF(J10&lt;0,-J10,0)</f>
        <v>0</v>
      </c>
      <c r="K13" s="0" t="n">
        <f aca="false">K11-K12+IF(K10&lt;0,-K10,0)</f>
        <v>0</v>
      </c>
      <c r="L13" s="0" t="n">
        <f aca="false">L11-L12+IF(L10&lt;0,-L10,0)</f>
        <v>0</v>
      </c>
      <c r="M13" s="0" t="n">
        <f aca="false">M11-M12+IF(M10&lt;0,-M10,0)</f>
        <v>0</v>
      </c>
      <c r="N13" s="0" t="n">
        <f aca="false">N11-N12+IF(N10&lt;0,-N10,0)</f>
        <v>0</v>
      </c>
      <c r="O13" s="0" t="n">
        <f aca="false">O11-O12+IF(O10&lt;0,-O10,0)</f>
        <v>0</v>
      </c>
      <c r="P13" s="0" t="n">
        <f aca="false">P11-P12+IF(P10&lt;0,-P10,0)</f>
        <v>0</v>
      </c>
      <c r="Q13" s="0" t="n">
        <f aca="false">Q11-Q12+IF(Q10&lt;0,-Q10,0)</f>
        <v>0</v>
      </c>
      <c r="R13" s="0" t="n">
        <f aca="false">R11-R12+IF(R10&lt;0,-R10,0)</f>
        <v>0</v>
      </c>
      <c r="S13" s="0" t="n">
        <f aca="false">S11-S12+IF(S10&lt;0,-S10,0)</f>
        <v>0</v>
      </c>
      <c r="T13" s="0" t="n">
        <f aca="false">T11-T12+IF(T10&lt;0,-T10,0)</f>
        <v>0</v>
      </c>
      <c r="U13" s="0" t="n">
        <f aca="false">U11-U12+IF(U10&lt;0,-U10,0)</f>
        <v>0</v>
      </c>
      <c r="V13" s="0" t="n">
        <f aca="false">V11-V12+IF(V10&lt;0,-V10,0)</f>
        <v>0</v>
      </c>
      <c r="W13" s="0" t="n">
        <f aca="false">W11-W12+IF(W10&lt;0,-W10,0)</f>
        <v>0</v>
      </c>
      <c r="X13" s="0" t="n">
        <f aca="false">X11-X12+IF(X10&lt;0,-X10,0)</f>
        <v>0</v>
      </c>
      <c r="Y13" s="0" t="n">
        <f aca="false">Y11-Y12+IF(Y10&lt;0,-Y10,0)</f>
        <v>0</v>
      </c>
      <c r="Z13" s="0" t="n">
        <f aca="false">Z11-Z12+IF(Z10&lt;0,-Z10,0)</f>
        <v>0</v>
      </c>
      <c r="AA13" s="0" t="n">
        <f aca="false">AA11-AA12+IF(AA10&lt;0,-AA10,0)</f>
        <v>0</v>
      </c>
      <c r="AB13" s="0" t="n">
        <f aca="false">AB11-AB12+IF(AB10&lt;0,-AB10,0)</f>
        <v>0</v>
      </c>
      <c r="AC13" s="0" t="n">
        <f aca="false">AC11-AC12+IF(AC10&lt;0,-AC10,0)</f>
        <v>0</v>
      </c>
      <c r="AD13" s="0" t="n">
        <f aca="false">AD11-AD12+IF(AD10&lt;0,-AD10,0)</f>
        <v>0</v>
      </c>
      <c r="AE13" s="0" t="n">
        <f aca="false">AE11-AE12+IF(AE10&lt;0,-AE10,0)</f>
        <v>0</v>
      </c>
      <c r="AF13" s="0" t="n">
        <f aca="false">AF11-AF12+IF(AF10&lt;0,-AF10,0)</f>
        <v>0</v>
      </c>
      <c r="AG13" s="0" t="n">
        <f aca="false">AG11-AG12+IF(AG10&lt;0,-AG10,0)</f>
        <v>0</v>
      </c>
      <c r="AH13" s="0" t="n">
        <f aca="false">AH11-AH12+IF(AH10&lt;0,-AH10,0)</f>
        <v>0</v>
      </c>
      <c r="AI13" s="0" t="n">
        <f aca="false">AI11-AI12+IF(AI10&lt;0,-AI10,0)</f>
        <v>0</v>
      </c>
      <c r="AJ13" s="0" t="n">
        <f aca="false">AJ11-AJ12+IF(AJ10&lt;0,-AJ10,0)</f>
        <v>0</v>
      </c>
      <c r="AK13" s="0" t="n">
        <f aca="false">AK11-AK12+IF(AK10&lt;0,-AK10,0)</f>
        <v>0</v>
      </c>
      <c r="AL13" s="0" t="n">
        <f aca="false">AL11-AL12+IF(AL10&lt;0,-AL10,0)</f>
        <v>0</v>
      </c>
      <c r="AM13" s="0" t="n">
        <f aca="false">AM11-AM12+IF(AM10&lt;0,-AM10,0)</f>
        <v>0</v>
      </c>
      <c r="AN13" s="0" t="n">
        <f aca="false">AN11-AN12+IF(AN10&lt;0,-AN10,0)</f>
        <v>0</v>
      </c>
      <c r="AO13" s="0" t="n">
        <f aca="false">AO11-AO12+IF(AO10&lt;0,-AO10,0)</f>
        <v>0</v>
      </c>
      <c r="AP13" s="0" t="n">
        <f aca="false">AP11-AP12+IF(AP10&lt;0,-AP10,0)</f>
        <v>0</v>
      </c>
      <c r="AQ13" s="0" t="n">
        <f aca="false">AQ11-AQ12+IF(AQ10&lt;0,-AQ10,0)</f>
        <v>0</v>
      </c>
      <c r="AR13" s="0" t="n">
        <f aca="false">AR11-AR12+IF(AR10&lt;0,-AR10,0)</f>
        <v>0</v>
      </c>
      <c r="AS13" s="0" t="n">
        <f aca="false">AS11-AS12+IF(AS10&lt;0,-AS10,0)</f>
        <v>0</v>
      </c>
      <c r="AT13" s="0" t="n">
        <f aca="false">AT11-AT12+IF(AT10&lt;0,-AT10,0)</f>
        <v>0</v>
      </c>
      <c r="AU13" s="0" t="n">
        <f aca="false">AU11-AU12+IF(AU10&lt;0,-AU10,0)</f>
        <v>0</v>
      </c>
      <c r="AV13" s="0" t="n">
        <f aca="false">AV11-AV12+IF(AV10&lt;0,-AV10,0)</f>
        <v>0</v>
      </c>
      <c r="AW13" s="0" t="n">
        <f aca="false">AW11-AW12+IF(AW10&lt;0,-AW10,0)</f>
        <v>0</v>
      </c>
      <c r="AX13" s="0" t="n">
        <f aca="false">AX11-AX12+IF(AX10&lt;0,-AX10,0)</f>
        <v>0</v>
      </c>
      <c r="AY13" s="0" t="n">
        <f aca="false">AY11-AY12+IF(AY10&lt;0,-AY10,0)</f>
        <v>0</v>
      </c>
      <c r="AZ13" s="0" t="n">
        <f aca="false">AZ11-AZ12+IF(AZ10&lt;0,-AZ10,0)</f>
        <v>0</v>
      </c>
      <c r="BA13" s="0" t="n">
        <f aca="false">BA11-BA12+IF(BA10&lt;0,-BA10,0)</f>
        <v>0</v>
      </c>
      <c r="BB13" s="0" t="n">
        <f aca="false">BB11-BB12+IF(BB10&lt;0,-BB10,0)</f>
        <v>0</v>
      </c>
      <c r="BC13" s="0" t="n">
        <f aca="false">BC11-BC12+IF(BC10&lt;0,-BC10,0)</f>
        <v>0</v>
      </c>
    </row>
    <row r="14" customFormat="false" ht="15" hidden="false" customHeight="false" outlineLevel="0" collapsed="false">
      <c r="A14" s="0" t="s">
        <v>178</v>
      </c>
      <c r="C14" s="0" t="n">
        <f aca="false">MAX(0,C10-C12)</f>
        <v>0</v>
      </c>
      <c r="D14" s="0" t="n">
        <f aca="false">MAX(0,D10-D12)</f>
        <v>0</v>
      </c>
      <c r="E14" s="0" t="n">
        <f aca="false">MAX(0,E10-E12)</f>
        <v>0</v>
      </c>
      <c r="F14" s="0" t="n">
        <f aca="false">MAX(0,F10-F12)</f>
        <v>1953.0525</v>
      </c>
      <c r="G14" s="0" t="n">
        <f aca="false">MAX(0,G10-G12)</f>
        <v>1967.02896790562</v>
      </c>
      <c r="H14" s="0" t="n">
        <f aca="false">MAX(0,H10-H12)</f>
        <v>2064.09878867865</v>
      </c>
      <c r="I14" s="0" t="n">
        <f aca="false">MAX(0,I10-I12)</f>
        <v>2079.59709719227</v>
      </c>
      <c r="J14" s="0" t="n">
        <f aca="false">MAX(0,J10-J12)</f>
        <v>2179.88478919002</v>
      </c>
      <c r="K14" s="0" t="n">
        <f aca="false">MAX(0,K10-K12)</f>
        <v>2197.00464174042</v>
      </c>
      <c r="L14" s="0" t="n">
        <f aca="false">MAX(0,L10-L12)</f>
        <v>2300.64573383597</v>
      </c>
      <c r="M14" s="0" t="n">
        <f aca="false">MAX(0,M10-M12)</f>
        <v>2319.49268996731</v>
      </c>
      <c r="N14" s="0" t="n">
        <f aca="false">MAX(0,N10-N12)</f>
        <v>2426.62938986427</v>
      </c>
      <c r="O14" s="0" t="n">
        <f aca="false">MAX(0,O10-O12)</f>
        <v>2447.31519769163</v>
      </c>
      <c r="P14" s="0" t="n">
        <f aca="false">MAX(0,P10-P12)</f>
        <v>2558.09674675569</v>
      </c>
      <c r="Q14" s="0" t="n">
        <f aca="false">MAX(0,Q10-Q12)</f>
        <v>2580.73969407591</v>
      </c>
      <c r="R14" s="0" t="n">
        <f aca="false">MAX(0,R10-R12)</f>
        <v>2695.32274159931</v>
      </c>
      <c r="S14" s="0" t="n">
        <f aca="false">MAX(0,S10-S12)</f>
        <v>2720.04802669965</v>
      </c>
      <c r="T14" s="0" t="n">
        <f aca="false">MAX(0,T10-T12)</f>
        <v>2838.59702467515</v>
      </c>
      <c r="U14" s="0" t="n">
        <f aca="false">MAX(0,U10-U12)</f>
        <v>2865.53714794042</v>
      </c>
      <c r="V14" s="0" t="n">
        <f aca="false">MAX(0,V10-V12)</f>
        <v>2988.22476748109</v>
      </c>
      <c r="W14" s="0" t="n">
        <f aca="false">MAX(0,W10-W12)</f>
        <v>3017.51994496148</v>
      </c>
      <c r="X14" s="0" t="n">
        <f aca="false">MAX(0,X10-X12)</f>
        <v>3144.5275155659</v>
      </c>
      <c r="Y14" s="0" t="n">
        <f aca="false">MAX(0,Y10-Y12)</f>
        <v>3176.32611573234</v>
      </c>
      <c r="Z14" s="0" t="n">
        <f aca="false">MAX(0,Z10-Z12)</f>
        <v>3307.84408866154</v>
      </c>
      <c r="AA14" s="0" t="n">
        <f aca="false">MAX(0,AA10-AA12)</f>
        <v>3342.3030936441</v>
      </c>
      <c r="AB14" s="0" t="n">
        <f aca="false">MAX(0,AB10-AB12)</f>
        <v>3478.53153074702</v>
      </c>
      <c r="AC14" s="0" t="n">
        <f aca="false">MAX(0,AC10-AC12)</f>
        <v>3515.81702342404</v>
      </c>
      <c r="AD14" s="0" t="n">
        <f aca="false">MAX(0,AD10-AD12)</f>
        <v>4123.09253139173</v>
      </c>
      <c r="AE14" s="0" t="n">
        <f aca="false">MAX(0,AE10-AE12)</f>
        <v>4167.56511399132</v>
      </c>
      <c r="AF14" s="0" t="n">
        <f aca="false">MAX(0,AF10-AF12)</f>
        <v>4327.47823157025</v>
      </c>
      <c r="AG14" s="0" t="n">
        <f aca="false">MAX(0,AG10-AG12)</f>
        <v>4375.4558888707</v>
      </c>
      <c r="AH14" s="0" t="n">
        <f aca="false">MAX(0,AH10-AH12)</f>
        <v>4541.25482148392</v>
      </c>
      <c r="AI14" s="0" t="n">
        <f aca="false">MAX(0,AI10-AI12)</f>
        <v>4592.95349231187</v>
      </c>
      <c r="AJ14" s="0" t="n">
        <f aca="false">MAX(0,AJ10-AJ12)</f>
        <v>4764.90580411933</v>
      </c>
      <c r="AK14" s="0" t="n">
        <f aca="false">MAX(0,AK10-AK12)</f>
        <v>4764.90580411933</v>
      </c>
      <c r="AL14" s="0" t="n">
        <f aca="false">MAX(0,AL10-AL12)</f>
        <v>4886.11437020171</v>
      </c>
      <c r="AM14" s="0" t="n">
        <f aca="false">MAX(0,AM10-AM12)</f>
        <v>4886.11437020171</v>
      </c>
      <c r="AN14" s="0" t="n">
        <f aca="false">MAX(0,AN10-AN12)</f>
        <v>5009.74710760575</v>
      </c>
      <c r="AO14" s="0" t="n">
        <f aca="false">MAX(0,AO10-AO12)</f>
        <v>5009.74710760575</v>
      </c>
      <c r="AP14" s="0" t="n">
        <f aca="false">MAX(0,AP10-AP12)</f>
        <v>5135.85249975787</v>
      </c>
      <c r="AQ14" s="0" t="n">
        <f aca="false">MAX(0,AQ10-AQ12)</f>
        <v>5135.85249975787</v>
      </c>
      <c r="AR14" s="0" t="n">
        <f aca="false">MAX(0,AR10-AR12)</f>
        <v>5264.47999975302</v>
      </c>
      <c r="AS14" s="0" t="n">
        <f aca="false">MAX(0,AS10-AS12)</f>
        <v>5264.47999975302</v>
      </c>
      <c r="AT14" s="0" t="n">
        <f aca="false">MAX(0,AT10-AT12)</f>
        <v>6470.68004974808</v>
      </c>
      <c r="AU14" s="0" t="n">
        <f aca="false">MAX(0,AU10-AU12)</f>
        <v>6470.68004974808</v>
      </c>
      <c r="AV14" s="0" t="n">
        <f aca="false">MAX(0,AV10-AV12)</f>
        <v>6604.50410074305</v>
      </c>
      <c r="AW14" s="0" t="n">
        <f aca="false">MAX(0,AW10-AW12)</f>
        <v>6604.50410074305</v>
      </c>
      <c r="AX14" s="0" t="n">
        <f aca="false">MAX(0,AX10-AX12)</f>
        <v>6741.0046327579</v>
      </c>
      <c r="AY14" s="0" t="n">
        <f aca="false">MAX(0,AY10-AY12)</f>
        <v>6741.0046327579</v>
      </c>
      <c r="AZ14" s="0" t="n">
        <f aca="false">MAX(0,AZ10-AZ12)</f>
        <v>6880.23517541306</v>
      </c>
      <c r="BA14" s="0" t="n">
        <f aca="false">MAX(0,BA10-BA12)</f>
        <v>6880.23517541306</v>
      </c>
      <c r="BB14" s="0" t="n">
        <f aca="false">MAX(0,BB10-BB12)</f>
        <v>7022.25032892132</v>
      </c>
      <c r="BC14" s="0" t="n">
        <f aca="false">MAX(0,BC10-BC12)</f>
        <v>7022.25032892132</v>
      </c>
    </row>
    <row r="15" customFormat="false" ht="15" hidden="false" customHeight="false" outlineLevel="0" collapsed="false">
      <c r="A15" s="1" t="s">
        <v>179</v>
      </c>
      <c r="C15" s="1" t="n">
        <f aca="false">C14*Inputs!$C$33</f>
        <v>0</v>
      </c>
      <c r="D15" s="1" t="n">
        <f aca="false">D14*Inputs!$C$33</f>
        <v>0</v>
      </c>
      <c r="E15" s="1" t="n">
        <f aca="false">E14*Inputs!$C$33</f>
        <v>0</v>
      </c>
      <c r="F15" s="1" t="n">
        <f aca="false">F14*Inputs!$C$33</f>
        <v>488.263125</v>
      </c>
      <c r="G15" s="1" t="n">
        <f aca="false">G14*Inputs!$C$33</f>
        <v>491.757241976406</v>
      </c>
      <c r="H15" s="1" t="n">
        <f aca="false">H14*Inputs!$C$33</f>
        <v>516.024697169662</v>
      </c>
      <c r="I15" s="1" t="n">
        <f aca="false">I14*Inputs!$C$33</f>
        <v>519.899274298068</v>
      </c>
      <c r="J15" s="1" t="n">
        <f aca="false">J14*Inputs!$C$33</f>
        <v>544.971197297504</v>
      </c>
      <c r="K15" s="1" t="n">
        <f aca="false">K14*Inputs!$C$33</f>
        <v>549.251160435106</v>
      </c>
      <c r="L15" s="1" t="n">
        <f aca="false">L14*Inputs!$C$33</f>
        <v>575.161433458991</v>
      </c>
      <c r="M15" s="1" t="n">
        <f aca="false">M14*Inputs!$C$33</f>
        <v>579.873172491828</v>
      </c>
      <c r="N15" s="1" t="n">
        <f aca="false">N14*Inputs!$C$33</f>
        <v>606.657347466067</v>
      </c>
      <c r="O15" s="1" t="n">
        <f aca="false">O14*Inputs!$C$33</f>
        <v>611.828799422908</v>
      </c>
      <c r="P15" s="1" t="n">
        <f aca="false">P14*Inputs!$C$33</f>
        <v>639.524186688923</v>
      </c>
      <c r="Q15" s="1" t="n">
        <f aca="false">Q14*Inputs!$C$33</f>
        <v>645.184923518979</v>
      </c>
      <c r="R15" s="1" t="n">
        <f aca="false">R14*Inputs!$C$33</f>
        <v>673.830685399828</v>
      </c>
      <c r="S15" s="1" t="n">
        <f aca="false">S14*Inputs!$C$33</f>
        <v>680.012006674912</v>
      </c>
      <c r="T15" s="1" t="n">
        <f aca="false">T14*Inputs!$C$33</f>
        <v>709.649256168787</v>
      </c>
      <c r="U15" s="1" t="n">
        <f aca="false">U14*Inputs!$C$33</f>
        <v>716.384286985105</v>
      </c>
      <c r="V15" s="1" t="n">
        <f aca="false">V14*Inputs!$C$33</f>
        <v>747.056191870272</v>
      </c>
      <c r="W15" s="1" t="n">
        <f aca="false">W14*Inputs!$C$33</f>
        <v>754.37998624037</v>
      </c>
      <c r="X15" s="1" t="n">
        <f aca="false">X14*Inputs!$C$33</f>
        <v>786.131878891475</v>
      </c>
      <c r="Y15" s="1" t="n">
        <f aca="false">Y14*Inputs!$C$33</f>
        <v>794.081528933084</v>
      </c>
      <c r="Z15" s="1" t="n">
        <f aca="false">Z14*Inputs!$C$33</f>
        <v>826.961022165384</v>
      </c>
      <c r="AA15" s="1" t="n">
        <f aca="false">AA14*Inputs!$C$33</f>
        <v>835.575773411024</v>
      </c>
      <c r="AB15" s="1" t="n">
        <f aca="false">AB14*Inputs!$C$33</f>
        <v>869.632882686756</v>
      </c>
      <c r="AC15" s="1" t="n">
        <f aca="false">AC14*Inputs!$C$33</f>
        <v>878.954255856011</v>
      </c>
      <c r="AD15" s="1" t="n">
        <f aca="false">AD14*Inputs!$C$33</f>
        <v>1030.77313284793</v>
      </c>
      <c r="AE15" s="1" t="n">
        <f aca="false">AE14*Inputs!$C$33</f>
        <v>1041.89127849783</v>
      </c>
      <c r="AF15" s="1" t="n">
        <f aca="false">AF14*Inputs!$C$33</f>
        <v>1081.86955789256</v>
      </c>
      <c r="AG15" s="1" t="n">
        <f aca="false">AG14*Inputs!$C$33</f>
        <v>1093.86397221768</v>
      </c>
      <c r="AH15" s="1" t="n">
        <f aca="false">AH14*Inputs!$C$33</f>
        <v>1135.31370537098</v>
      </c>
      <c r="AI15" s="1" t="n">
        <f aca="false">AI14*Inputs!$C$33</f>
        <v>1148.23837307797</v>
      </c>
      <c r="AJ15" s="1" t="n">
        <f aca="false">AJ14*Inputs!$C$33</f>
        <v>1191.22645102983</v>
      </c>
      <c r="AK15" s="1" t="n">
        <f aca="false">AK14*Inputs!$C$33</f>
        <v>1191.22645102983</v>
      </c>
      <c r="AL15" s="1" t="n">
        <f aca="false">AL14*Inputs!$C$33</f>
        <v>1221.52859255043</v>
      </c>
      <c r="AM15" s="1" t="n">
        <f aca="false">AM14*Inputs!$C$33</f>
        <v>1221.52859255043</v>
      </c>
      <c r="AN15" s="1" t="n">
        <f aca="false">AN14*Inputs!$C$33</f>
        <v>1252.43677690144</v>
      </c>
      <c r="AO15" s="1" t="n">
        <f aca="false">AO14*Inputs!$C$33</f>
        <v>1252.43677690144</v>
      </c>
      <c r="AP15" s="1" t="n">
        <f aca="false">AP14*Inputs!$C$33</f>
        <v>1283.96312493947</v>
      </c>
      <c r="AQ15" s="1" t="n">
        <f aca="false">AQ14*Inputs!$C$33</f>
        <v>1283.96312493947</v>
      </c>
      <c r="AR15" s="1" t="n">
        <f aca="false">AR14*Inputs!$C$33</f>
        <v>1316.11999993826</v>
      </c>
      <c r="AS15" s="1" t="n">
        <f aca="false">AS14*Inputs!$C$33</f>
        <v>1316.11999993826</v>
      </c>
      <c r="AT15" s="1" t="n">
        <f aca="false">AT14*Inputs!$C$33</f>
        <v>1617.67001243702</v>
      </c>
      <c r="AU15" s="1" t="n">
        <f aca="false">AU14*Inputs!$C$33</f>
        <v>1617.67001243702</v>
      </c>
      <c r="AV15" s="1" t="n">
        <f aca="false">AV14*Inputs!$C$33</f>
        <v>1651.12602518576</v>
      </c>
      <c r="AW15" s="1" t="n">
        <f aca="false">AW14*Inputs!$C$33</f>
        <v>1651.12602518576</v>
      </c>
      <c r="AX15" s="1" t="n">
        <f aca="false">AX14*Inputs!$C$33</f>
        <v>1685.25115818948</v>
      </c>
      <c r="AY15" s="1" t="n">
        <f aca="false">AY14*Inputs!$C$33</f>
        <v>1685.25115818948</v>
      </c>
      <c r="AZ15" s="1" t="n">
        <f aca="false">AZ14*Inputs!$C$33</f>
        <v>1720.05879385327</v>
      </c>
      <c r="BA15" s="1" t="n">
        <f aca="false">BA14*Inputs!$C$33</f>
        <v>1720.05879385327</v>
      </c>
      <c r="BB15" s="1" t="n">
        <f aca="false">BB14*Inputs!$C$33</f>
        <v>1755.56258223033</v>
      </c>
      <c r="BC15" s="1" t="n">
        <f aca="false">BC14*Inputs!$C$33</f>
        <v>1755.56258223033</v>
      </c>
    </row>
    <row r="16" customFormat="false" ht="15" hidden="false" customHeight="false" outlineLevel="0" collapsed="false">
      <c r="A16" s="1" t="s">
        <v>180</v>
      </c>
      <c r="C16" s="1" t="n">
        <f aca="false">C10-C15</f>
        <v>0</v>
      </c>
      <c r="D16" s="1" t="n">
        <f aca="false">D10-D15</f>
        <v>0</v>
      </c>
      <c r="E16" s="1" t="n">
        <f aca="false">E10-E15</f>
        <v>0</v>
      </c>
      <c r="F16" s="6" t="n">
        <f aca="false">F10-F15</f>
        <v>1464.789375</v>
      </c>
      <c r="G16" s="6" t="n">
        <f aca="false">G10-G15</f>
        <v>1475.27172592922</v>
      </c>
      <c r="H16" s="6" t="n">
        <f aca="false">H10-H15</f>
        <v>1548.07409150899</v>
      </c>
      <c r="I16" s="6" t="n">
        <f aca="false">I10-I15</f>
        <v>1559.6978228942</v>
      </c>
      <c r="J16" s="6" t="n">
        <f aca="false">J10-J15</f>
        <v>1634.91359189251</v>
      </c>
      <c r="K16" s="6" t="n">
        <f aca="false">K10-K15</f>
        <v>1647.75348130532</v>
      </c>
      <c r="L16" s="6" t="n">
        <f aca="false">L10-L15</f>
        <v>1725.48430037697</v>
      </c>
      <c r="M16" s="6" t="n">
        <f aca="false">M10-M15</f>
        <v>1739.61951747548</v>
      </c>
      <c r="N16" s="6" t="n">
        <f aca="false">N10-N15</f>
        <v>1819.9720423982</v>
      </c>
      <c r="O16" s="6" t="n">
        <f aca="false">O10-O15</f>
        <v>1835.48639826872</v>
      </c>
      <c r="P16" s="6" t="n">
        <f aca="false">P10-P15</f>
        <v>1918.57256006677</v>
      </c>
      <c r="Q16" s="6" t="n">
        <f aca="false">Q10-Q15</f>
        <v>1935.55477055694</v>
      </c>
      <c r="R16" s="6" t="n">
        <f aca="false">R10-R15</f>
        <v>2021.49205619949</v>
      </c>
      <c r="S16" s="6" t="n">
        <f aca="false">S10-S15</f>
        <v>2040.03602002474</v>
      </c>
      <c r="T16" s="6" t="n">
        <f aca="false">T10-T15</f>
        <v>2128.94776850636</v>
      </c>
      <c r="U16" s="6" t="n">
        <f aca="false">U10-U15</f>
        <v>2149.15286095531</v>
      </c>
      <c r="V16" s="6" t="n">
        <f aca="false">V10-V15</f>
        <v>2241.16857561082</v>
      </c>
      <c r="W16" s="6" t="n">
        <f aca="false">W10-W15</f>
        <v>2263.13995872111</v>
      </c>
      <c r="X16" s="6" t="n">
        <f aca="false">X10-X15</f>
        <v>2358.39563667442</v>
      </c>
      <c r="Y16" s="6" t="n">
        <f aca="false">Y10-Y15</f>
        <v>2382.24458679925</v>
      </c>
      <c r="Z16" s="6" t="n">
        <f aca="false">Z10-Z15</f>
        <v>2480.88306649615</v>
      </c>
      <c r="AA16" s="6" t="n">
        <f aca="false">AA10-AA15</f>
        <v>2506.72732023307</v>
      </c>
      <c r="AB16" s="6" t="n">
        <f aca="false">AB10-AB15</f>
        <v>2608.89864806027</v>
      </c>
      <c r="AC16" s="6" t="n">
        <f aca="false">AC10-AC15</f>
        <v>2636.86276756803</v>
      </c>
      <c r="AD16" s="6" t="n">
        <f aca="false">AD10-AD15</f>
        <v>3092.3193985438</v>
      </c>
      <c r="AE16" s="6" t="n">
        <f aca="false">AE10-AE15</f>
        <v>3125.67383549349</v>
      </c>
      <c r="AF16" s="6" t="n">
        <f aca="false">AF10-AF15</f>
        <v>3245.60867367769</v>
      </c>
      <c r="AG16" s="6" t="n">
        <f aca="false">AG10-AG15</f>
        <v>3281.59191665303</v>
      </c>
      <c r="AH16" s="6" t="n">
        <f aca="false">AH10-AH15</f>
        <v>3405.94111611294</v>
      </c>
      <c r="AI16" s="6" t="n">
        <f aca="false">AI10-AI15</f>
        <v>3444.7151192339</v>
      </c>
      <c r="AJ16" s="1" t="n">
        <f aca="false">AJ10-AJ15</f>
        <v>3573.6793530895</v>
      </c>
      <c r="AK16" s="1" t="n">
        <f aca="false">AK10-AK15</f>
        <v>3573.6793530895</v>
      </c>
      <c r="AL16" s="1" t="n">
        <f aca="false">AL10-AL15</f>
        <v>3664.58577765129</v>
      </c>
      <c r="AM16" s="1" t="n">
        <f aca="false">AM10-AM15</f>
        <v>3664.58577765129</v>
      </c>
      <c r="AN16" s="1" t="n">
        <f aca="false">AN10-AN15</f>
        <v>3757.31033070431</v>
      </c>
      <c r="AO16" s="1" t="n">
        <f aca="false">AO10-AO15</f>
        <v>3757.31033070431</v>
      </c>
      <c r="AP16" s="1" t="n">
        <f aca="false">AP10-AP15</f>
        <v>3851.8893748184</v>
      </c>
      <c r="AQ16" s="1" t="n">
        <f aca="false">AQ10-AQ15</f>
        <v>3851.8893748184</v>
      </c>
      <c r="AR16" s="1" t="n">
        <f aca="false">AR10-AR15</f>
        <v>3948.35999981477</v>
      </c>
      <c r="AS16" s="1" t="n">
        <f aca="false">AS10-AS15</f>
        <v>3948.35999981477</v>
      </c>
      <c r="AT16" s="1" t="n">
        <f aca="false">AT10-AT15</f>
        <v>4853.01003731106</v>
      </c>
      <c r="AU16" s="1" t="n">
        <f aca="false">AU10-AU15</f>
        <v>4853.01003731106</v>
      </c>
      <c r="AV16" s="1" t="n">
        <f aca="false">AV10-AV15</f>
        <v>4953.37807555728</v>
      </c>
      <c r="AW16" s="1" t="n">
        <f aca="false">AW10-AW15</f>
        <v>4953.37807555728</v>
      </c>
      <c r="AX16" s="1" t="n">
        <f aca="false">AX10-AX15</f>
        <v>5055.75347456843</v>
      </c>
      <c r="AY16" s="1" t="n">
        <f aca="false">AY10-AY15</f>
        <v>5055.75347456843</v>
      </c>
      <c r="AZ16" s="1" t="n">
        <f aca="false">AZ10-AZ15</f>
        <v>5160.1763815598</v>
      </c>
      <c r="BA16" s="1" t="n">
        <f aca="false">BA10-BA15</f>
        <v>5160.1763815598</v>
      </c>
      <c r="BB16" s="1" t="n">
        <f aca="false">BB10-BB15</f>
        <v>5266.68774669099</v>
      </c>
      <c r="BC16" s="1" t="n">
        <f aca="false">BC10-BC15</f>
        <v>5266.68774669099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181</v>
      </c>
    </row>
    <row r="3" customFormat="false" ht="15" hidden="false" customHeight="false" outlineLevel="0" collapsed="false">
      <c r="A3" s="0" t="s">
        <v>55</v>
      </c>
      <c r="C3" s="1" t="s">
        <v>57</v>
      </c>
      <c r="D3" s="1" t="s">
        <v>58</v>
      </c>
      <c r="E3" s="1" t="s">
        <v>59</v>
      </c>
      <c r="F3" s="1" t="s">
        <v>60</v>
      </c>
      <c r="G3" s="1" t="s">
        <v>61</v>
      </c>
      <c r="H3" s="1" t="s">
        <v>62</v>
      </c>
      <c r="I3" s="1" t="s">
        <v>63</v>
      </c>
      <c r="J3" s="1" t="s">
        <v>64</v>
      </c>
      <c r="K3" s="1" t="s">
        <v>65</v>
      </c>
      <c r="L3" s="1" t="s">
        <v>66</v>
      </c>
      <c r="M3" s="1" t="s">
        <v>67</v>
      </c>
      <c r="N3" s="1" t="s">
        <v>68</v>
      </c>
      <c r="O3" s="1" t="s">
        <v>69</v>
      </c>
      <c r="P3" s="1" t="s">
        <v>70</v>
      </c>
      <c r="Q3" s="1" t="s">
        <v>71</v>
      </c>
      <c r="R3" s="1" t="s">
        <v>72</v>
      </c>
      <c r="S3" s="1" t="s">
        <v>73</v>
      </c>
      <c r="T3" s="1" t="s">
        <v>74</v>
      </c>
      <c r="U3" s="1" t="s">
        <v>75</v>
      </c>
      <c r="V3" s="1" t="s">
        <v>76</v>
      </c>
      <c r="W3" s="1" t="s">
        <v>77</v>
      </c>
      <c r="X3" s="1" t="s">
        <v>78</v>
      </c>
      <c r="Y3" s="1" t="s">
        <v>79</v>
      </c>
      <c r="Z3" s="1" t="s">
        <v>80</v>
      </c>
      <c r="AA3" s="1" t="s">
        <v>81</v>
      </c>
      <c r="AB3" s="1" t="s">
        <v>82</v>
      </c>
      <c r="AC3" s="1" t="s">
        <v>83</v>
      </c>
      <c r="AD3" s="1" t="s">
        <v>84</v>
      </c>
      <c r="AE3" s="1" t="s">
        <v>85</v>
      </c>
      <c r="AF3" s="1" t="s">
        <v>86</v>
      </c>
      <c r="AG3" s="1" t="s">
        <v>87</v>
      </c>
      <c r="AH3" s="1" t="s">
        <v>88</v>
      </c>
      <c r="AI3" s="1" t="s">
        <v>89</v>
      </c>
      <c r="AJ3" s="1" t="s">
        <v>90</v>
      </c>
      <c r="AK3" s="1" t="s">
        <v>91</v>
      </c>
      <c r="AL3" s="1" t="s">
        <v>92</v>
      </c>
      <c r="AM3" s="1" t="s">
        <v>93</v>
      </c>
      <c r="AN3" s="1" t="s">
        <v>94</v>
      </c>
      <c r="AO3" s="1" t="s">
        <v>95</v>
      </c>
      <c r="AP3" s="1" t="s">
        <v>96</v>
      </c>
      <c r="AQ3" s="1" t="s">
        <v>97</v>
      </c>
      <c r="AR3" s="1" t="s">
        <v>98</v>
      </c>
      <c r="AS3" s="1" t="s">
        <v>99</v>
      </c>
      <c r="AT3" s="1" t="s">
        <v>100</v>
      </c>
      <c r="AU3" s="1" t="s">
        <v>101</v>
      </c>
      <c r="AV3" s="1" t="s">
        <v>102</v>
      </c>
      <c r="AW3" s="1" t="s">
        <v>103</v>
      </c>
      <c r="AX3" s="1" t="s">
        <v>104</v>
      </c>
      <c r="AY3" s="1" t="s">
        <v>105</v>
      </c>
      <c r="AZ3" s="1" t="s">
        <v>106</v>
      </c>
      <c r="BA3" s="1" t="s">
        <v>107</v>
      </c>
      <c r="BB3" s="1" t="s">
        <v>108</v>
      </c>
      <c r="BC3" s="1" t="s">
        <v>109</v>
      </c>
    </row>
    <row r="4" customFormat="false" ht="15" hidden="false" customHeight="false" outlineLevel="0" collapsed="false">
      <c r="A4" s="0" t="s">
        <v>110</v>
      </c>
      <c r="C4" s="5" t="n">
        <v>47665</v>
      </c>
      <c r="D4" s="5" t="n">
        <v>47849</v>
      </c>
      <c r="E4" s="5" t="n">
        <v>48030</v>
      </c>
      <c r="F4" s="5" t="n">
        <v>48214</v>
      </c>
      <c r="G4" s="5" t="n">
        <v>48396</v>
      </c>
      <c r="H4" s="5" t="n">
        <v>48580</v>
      </c>
      <c r="I4" s="5" t="n">
        <v>48761</v>
      </c>
      <c r="J4" s="5" t="n">
        <v>48945</v>
      </c>
      <c r="K4" s="5" t="n">
        <v>49126</v>
      </c>
      <c r="L4" s="5" t="n">
        <v>49310</v>
      </c>
      <c r="M4" s="5" t="n">
        <v>49491</v>
      </c>
      <c r="N4" s="5" t="n">
        <v>49675</v>
      </c>
      <c r="O4" s="5" t="n">
        <v>49857</v>
      </c>
      <c r="P4" s="5" t="n">
        <v>50041</v>
      </c>
      <c r="Q4" s="5" t="n">
        <v>50222</v>
      </c>
      <c r="R4" s="5" t="n">
        <v>50406</v>
      </c>
      <c r="S4" s="5" t="n">
        <v>50587</v>
      </c>
      <c r="T4" s="5" t="n">
        <v>50771</v>
      </c>
      <c r="U4" s="5" t="n">
        <v>50952</v>
      </c>
      <c r="V4" s="5" t="n">
        <v>51136</v>
      </c>
      <c r="W4" s="5" t="n">
        <v>51318</v>
      </c>
      <c r="X4" s="5" t="n">
        <v>51502</v>
      </c>
      <c r="Y4" s="5" t="n">
        <v>51683</v>
      </c>
      <c r="Z4" s="5" t="n">
        <v>51867</v>
      </c>
      <c r="AA4" s="5" t="n">
        <v>52048</v>
      </c>
      <c r="AB4" s="5" t="n">
        <v>52232</v>
      </c>
      <c r="AC4" s="5" t="n">
        <v>52413</v>
      </c>
      <c r="AD4" s="5" t="n">
        <v>52597</v>
      </c>
      <c r="AE4" s="5" t="n">
        <v>52779</v>
      </c>
      <c r="AF4" s="5" t="n">
        <v>52963</v>
      </c>
      <c r="AG4" s="5" t="n">
        <v>53144</v>
      </c>
      <c r="AH4" s="5" t="n">
        <v>53328</v>
      </c>
      <c r="AI4" s="5" t="n">
        <v>53509</v>
      </c>
      <c r="AJ4" s="5" t="n">
        <v>53693</v>
      </c>
      <c r="AK4" s="5" t="n">
        <v>53874</v>
      </c>
      <c r="AL4" s="5" t="n">
        <v>54058</v>
      </c>
      <c r="AM4" s="5" t="n">
        <v>54240</v>
      </c>
      <c r="AN4" s="5" t="n">
        <v>54424</v>
      </c>
      <c r="AO4" s="5" t="n">
        <v>54605</v>
      </c>
      <c r="AP4" s="5" t="n">
        <v>54789</v>
      </c>
      <c r="AQ4" s="5" t="n">
        <v>54970</v>
      </c>
      <c r="AR4" s="5" t="n">
        <v>55154</v>
      </c>
      <c r="AS4" s="5" t="n">
        <v>55335</v>
      </c>
      <c r="AT4" s="5" t="n">
        <v>55519</v>
      </c>
      <c r="AU4" s="5" t="n">
        <v>55701</v>
      </c>
      <c r="AV4" s="5" t="n">
        <v>55885</v>
      </c>
      <c r="AW4" s="5" t="n">
        <v>56066</v>
      </c>
      <c r="AX4" s="5" t="n">
        <v>56250</v>
      </c>
      <c r="AY4" s="5" t="n">
        <v>56431</v>
      </c>
      <c r="AZ4" s="5" t="n">
        <v>56615</v>
      </c>
      <c r="BA4" s="5" t="n">
        <v>56796</v>
      </c>
      <c r="BB4" s="5" t="n">
        <v>56980</v>
      </c>
      <c r="BC4" s="5" t="n">
        <v>57162</v>
      </c>
    </row>
    <row r="6" customFormat="false" ht="15" hidden="false" customHeight="false" outlineLevel="0" collapsed="false">
      <c r="A6" s="0" t="s">
        <v>182</v>
      </c>
      <c r="C6" s="0" t="n">
        <f aca="false">-CapEx!C10</f>
        <v>-19300</v>
      </c>
      <c r="D6" s="0" t="n">
        <f aca="false">-CapEx!D10</f>
        <v>-21900</v>
      </c>
      <c r="E6" s="0" t="n">
        <f aca="false">-CapEx!E10</f>
        <v>-1800</v>
      </c>
      <c r="F6" s="0" t="n">
        <v>0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F6" s="0" t="n">
        <v>0</v>
      </c>
      <c r="AG6" s="0" t="n">
        <v>0</v>
      </c>
      <c r="AH6" s="0" t="n">
        <v>0</v>
      </c>
      <c r="AI6" s="0" t="n">
        <v>0</v>
      </c>
      <c r="AJ6" s="0" t="n">
        <v>0</v>
      </c>
      <c r="AK6" s="0" t="n">
        <v>0</v>
      </c>
      <c r="AL6" s="0" t="n">
        <v>0</v>
      </c>
      <c r="AM6" s="0" t="n">
        <v>0</v>
      </c>
      <c r="AN6" s="0" t="n">
        <v>0</v>
      </c>
      <c r="AO6" s="0" t="n">
        <v>0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0</v>
      </c>
      <c r="AV6" s="0" t="n">
        <v>0</v>
      </c>
      <c r="AW6" s="0" t="n">
        <v>0</v>
      </c>
      <c r="AX6" s="0" t="n">
        <v>0</v>
      </c>
      <c r="AY6" s="0" t="n">
        <v>0</v>
      </c>
      <c r="AZ6" s="0" t="n">
        <v>0</v>
      </c>
      <c r="BA6" s="0" t="n">
        <v>0</v>
      </c>
      <c r="BB6" s="0" t="n">
        <v>0</v>
      </c>
      <c r="BC6" s="0" t="n">
        <v>0</v>
      </c>
    </row>
    <row r="7" customFormat="false" ht="15" hidden="false" customHeight="false" outlineLevel="0" collapsed="false">
      <c r="A7" s="0" t="s">
        <v>171</v>
      </c>
      <c r="C7" s="0" t="n">
        <f aca="false">'P&amp;L'!C7</f>
        <v>0</v>
      </c>
      <c r="D7" s="0" t="n">
        <f aca="false">'P&amp;L'!D7</f>
        <v>0</v>
      </c>
      <c r="E7" s="0" t="n">
        <f aca="false">'P&amp;L'!E7</f>
        <v>0</v>
      </c>
      <c r="F7" s="0" t="n">
        <f aca="false">'P&amp;L'!F7</f>
        <v>3914.9275</v>
      </c>
      <c r="G7" s="0" t="n">
        <f aca="false">'P&amp;L'!G7</f>
        <v>3914.9275</v>
      </c>
      <c r="H7" s="0" t="n">
        <f aca="false">'P&amp;L'!H7</f>
        <v>3997.6365</v>
      </c>
      <c r="I7" s="0" t="n">
        <f aca="false">'P&amp;L'!I7</f>
        <v>3997.6365</v>
      </c>
      <c r="J7" s="0" t="n">
        <f aca="false">'P&amp;L'!J7</f>
        <v>4081.99968</v>
      </c>
      <c r="K7" s="0" t="n">
        <f aca="false">'P&amp;L'!K7</f>
        <v>4081.99968</v>
      </c>
      <c r="L7" s="0" t="n">
        <f aca="false">'P&amp;L'!L7</f>
        <v>4168.0501236</v>
      </c>
      <c r="M7" s="0" t="n">
        <f aca="false">'P&amp;L'!M7</f>
        <v>4168.0501236</v>
      </c>
      <c r="N7" s="0" t="n">
        <f aca="false">'P&amp;L'!N7</f>
        <v>4255.821576072</v>
      </c>
      <c r="O7" s="0" t="n">
        <f aca="false">'P&amp;L'!O7</f>
        <v>4255.821576072</v>
      </c>
      <c r="P7" s="0" t="n">
        <f aca="false">'P&amp;L'!P7</f>
        <v>4345.34845759344</v>
      </c>
      <c r="Q7" s="0" t="n">
        <f aca="false">'P&amp;L'!Q7</f>
        <v>4345.34845759344</v>
      </c>
      <c r="R7" s="0" t="n">
        <f aca="false">'P&amp;L'!R7</f>
        <v>4436.66587674531</v>
      </c>
      <c r="S7" s="0" t="n">
        <f aca="false">'P&amp;L'!S7</f>
        <v>4436.66587674531</v>
      </c>
      <c r="T7" s="0" t="n">
        <f aca="false">'P&amp;L'!T7</f>
        <v>4529.80964428022</v>
      </c>
      <c r="U7" s="0" t="n">
        <f aca="false">'P&amp;L'!U7</f>
        <v>4529.80964428022</v>
      </c>
      <c r="V7" s="0" t="n">
        <f aca="false">'P&amp;L'!V7</f>
        <v>4624.81628716582</v>
      </c>
      <c r="W7" s="0" t="n">
        <f aca="false">'P&amp;L'!W7</f>
        <v>4624.81628716582</v>
      </c>
      <c r="X7" s="0" t="n">
        <f aca="false">'P&amp;L'!X7</f>
        <v>4721.72306290914</v>
      </c>
      <c r="Y7" s="0" t="n">
        <f aca="false">'P&amp;L'!Y7</f>
        <v>4721.72306290914</v>
      </c>
      <c r="Z7" s="0" t="n">
        <f aca="false">'P&amp;L'!Z7</f>
        <v>4820.56797416732</v>
      </c>
      <c r="AA7" s="0" t="n">
        <f aca="false">'P&amp;L'!AA7</f>
        <v>4820.56797416732</v>
      </c>
      <c r="AB7" s="0" t="n">
        <f aca="false">'P&amp;L'!AB7</f>
        <v>4921.38978365067</v>
      </c>
      <c r="AC7" s="0" t="n">
        <f aca="false">'P&amp;L'!AC7</f>
        <v>4921.38978365067</v>
      </c>
      <c r="AD7" s="0" t="n">
        <f aca="false">'P&amp;L'!AD7</f>
        <v>5490.35444789271</v>
      </c>
      <c r="AE7" s="0" t="n">
        <f aca="false">'P&amp;L'!AE7</f>
        <v>5490.35444789271</v>
      </c>
      <c r="AF7" s="0" t="n">
        <f aca="false">'P&amp;L'!AF7</f>
        <v>5604.57198685056</v>
      </c>
      <c r="AG7" s="0" t="n">
        <f aca="false">'P&amp;L'!AG7</f>
        <v>5604.57198685056</v>
      </c>
      <c r="AH7" s="0" t="n">
        <f aca="false">'P&amp;L'!AH7</f>
        <v>5721.07387658758</v>
      </c>
      <c r="AI7" s="0" t="n">
        <f aca="false">'P&amp;L'!AI7</f>
        <v>5721.07387658758</v>
      </c>
      <c r="AJ7" s="0" t="n">
        <f aca="false">'P&amp;L'!AJ7</f>
        <v>5839.90580411933</v>
      </c>
      <c r="AK7" s="0" t="n">
        <f aca="false">'P&amp;L'!AK7</f>
        <v>5839.90580411933</v>
      </c>
      <c r="AL7" s="0" t="n">
        <f aca="false">'P&amp;L'!AL7</f>
        <v>5961.11437020171</v>
      </c>
      <c r="AM7" s="0" t="n">
        <f aca="false">'P&amp;L'!AM7</f>
        <v>5961.11437020171</v>
      </c>
      <c r="AN7" s="0" t="n">
        <f aca="false">'P&amp;L'!AN7</f>
        <v>6084.74710760575</v>
      </c>
      <c r="AO7" s="0" t="n">
        <f aca="false">'P&amp;L'!AO7</f>
        <v>6084.74710760575</v>
      </c>
      <c r="AP7" s="0" t="n">
        <f aca="false">'P&amp;L'!AP7</f>
        <v>6210.85249975787</v>
      </c>
      <c r="AQ7" s="0" t="n">
        <f aca="false">'P&amp;L'!AQ7</f>
        <v>6210.85249975787</v>
      </c>
      <c r="AR7" s="0" t="n">
        <f aca="false">'P&amp;L'!AR7</f>
        <v>6339.47999975302</v>
      </c>
      <c r="AS7" s="0" t="n">
        <f aca="false">'P&amp;L'!AS7</f>
        <v>6339.47999975302</v>
      </c>
      <c r="AT7" s="0" t="n">
        <f aca="false">'P&amp;L'!AT7</f>
        <v>6470.68004974808</v>
      </c>
      <c r="AU7" s="0" t="n">
        <f aca="false">'P&amp;L'!AU7</f>
        <v>6470.68004974808</v>
      </c>
      <c r="AV7" s="0" t="n">
        <f aca="false">'P&amp;L'!AV7</f>
        <v>6604.50410074305</v>
      </c>
      <c r="AW7" s="0" t="n">
        <f aca="false">'P&amp;L'!AW7</f>
        <v>6604.50410074305</v>
      </c>
      <c r="AX7" s="0" t="n">
        <f aca="false">'P&amp;L'!AX7</f>
        <v>6741.0046327579</v>
      </c>
      <c r="AY7" s="0" t="n">
        <f aca="false">'P&amp;L'!AY7</f>
        <v>6741.0046327579</v>
      </c>
      <c r="AZ7" s="0" t="n">
        <f aca="false">'P&amp;L'!AZ7</f>
        <v>6880.23517541306</v>
      </c>
      <c r="BA7" s="0" t="n">
        <f aca="false">'P&amp;L'!BA7</f>
        <v>6880.23517541306</v>
      </c>
      <c r="BB7" s="0" t="n">
        <f aca="false">'P&amp;L'!BB7</f>
        <v>7022.25032892132</v>
      </c>
      <c r="BC7" s="0" t="n">
        <f aca="false">'P&amp;L'!BC7</f>
        <v>7022.25032892132</v>
      </c>
    </row>
    <row r="8" customFormat="false" ht="15" hidden="false" customHeight="false" outlineLevel="0" collapsed="false">
      <c r="A8" s="0" t="s">
        <v>183</v>
      </c>
      <c r="C8" s="0" t="n">
        <f aca="false">'P&amp;L'!C15</f>
        <v>0</v>
      </c>
      <c r="D8" s="0" t="n">
        <f aca="false">'P&amp;L'!D15</f>
        <v>0</v>
      </c>
      <c r="E8" s="0" t="n">
        <f aca="false">'P&amp;L'!E15</f>
        <v>0</v>
      </c>
      <c r="F8" s="0" t="n">
        <f aca="false">'P&amp;L'!F15</f>
        <v>488.263125</v>
      </c>
      <c r="G8" s="0" t="n">
        <f aca="false">'P&amp;L'!G15</f>
        <v>491.757241976406</v>
      </c>
      <c r="H8" s="0" t="n">
        <f aca="false">'P&amp;L'!H15</f>
        <v>516.024697169662</v>
      </c>
      <c r="I8" s="0" t="n">
        <f aca="false">'P&amp;L'!I15</f>
        <v>519.899274298068</v>
      </c>
      <c r="J8" s="0" t="n">
        <f aca="false">'P&amp;L'!J15</f>
        <v>544.971197297504</v>
      </c>
      <c r="K8" s="0" t="n">
        <f aca="false">'P&amp;L'!K15</f>
        <v>549.251160435106</v>
      </c>
      <c r="L8" s="0" t="n">
        <f aca="false">'P&amp;L'!L15</f>
        <v>575.161433458991</v>
      </c>
      <c r="M8" s="0" t="n">
        <f aca="false">'P&amp;L'!M15</f>
        <v>579.873172491828</v>
      </c>
      <c r="N8" s="0" t="n">
        <f aca="false">'P&amp;L'!N15</f>
        <v>606.657347466067</v>
      </c>
      <c r="O8" s="0" t="n">
        <f aca="false">'P&amp;L'!O15</f>
        <v>611.828799422908</v>
      </c>
      <c r="P8" s="0" t="n">
        <f aca="false">'P&amp;L'!P15</f>
        <v>639.524186688923</v>
      </c>
      <c r="Q8" s="0" t="n">
        <f aca="false">'P&amp;L'!Q15</f>
        <v>645.184923518979</v>
      </c>
      <c r="R8" s="0" t="n">
        <f aca="false">'P&amp;L'!R15</f>
        <v>673.830685399828</v>
      </c>
      <c r="S8" s="0" t="n">
        <f aca="false">'P&amp;L'!S15</f>
        <v>680.012006674912</v>
      </c>
      <c r="T8" s="0" t="n">
        <f aca="false">'P&amp;L'!T15</f>
        <v>709.649256168787</v>
      </c>
      <c r="U8" s="0" t="n">
        <f aca="false">'P&amp;L'!U15</f>
        <v>716.384286985105</v>
      </c>
      <c r="V8" s="0" t="n">
        <f aca="false">'P&amp;L'!V15</f>
        <v>747.056191870272</v>
      </c>
      <c r="W8" s="0" t="n">
        <f aca="false">'P&amp;L'!W15</f>
        <v>754.37998624037</v>
      </c>
      <c r="X8" s="0" t="n">
        <f aca="false">'P&amp;L'!X15</f>
        <v>786.131878891475</v>
      </c>
      <c r="Y8" s="0" t="n">
        <f aca="false">'P&amp;L'!Y15</f>
        <v>794.081528933084</v>
      </c>
      <c r="Z8" s="0" t="n">
        <f aca="false">'P&amp;L'!Z15</f>
        <v>826.961022165384</v>
      </c>
      <c r="AA8" s="0" t="n">
        <f aca="false">'P&amp;L'!AA15</f>
        <v>835.575773411024</v>
      </c>
      <c r="AB8" s="0" t="n">
        <f aca="false">'P&amp;L'!AB15</f>
        <v>869.632882686756</v>
      </c>
      <c r="AC8" s="0" t="n">
        <f aca="false">'P&amp;L'!AC15</f>
        <v>878.954255856011</v>
      </c>
      <c r="AD8" s="0" t="n">
        <f aca="false">'P&amp;L'!AD15</f>
        <v>1030.77313284793</v>
      </c>
      <c r="AE8" s="0" t="n">
        <f aca="false">'P&amp;L'!AE15</f>
        <v>1041.89127849783</v>
      </c>
      <c r="AF8" s="0" t="n">
        <f aca="false">'P&amp;L'!AF15</f>
        <v>1081.86955789256</v>
      </c>
      <c r="AG8" s="0" t="n">
        <f aca="false">'P&amp;L'!AG15</f>
        <v>1093.86397221768</v>
      </c>
      <c r="AH8" s="0" t="n">
        <f aca="false">'P&amp;L'!AH15</f>
        <v>1135.31370537098</v>
      </c>
      <c r="AI8" s="0" t="n">
        <f aca="false">'P&amp;L'!AI15</f>
        <v>1148.23837307797</v>
      </c>
      <c r="AJ8" s="0" t="n">
        <f aca="false">'P&amp;L'!AJ15</f>
        <v>1191.22645102983</v>
      </c>
      <c r="AK8" s="0" t="n">
        <f aca="false">'P&amp;L'!AK15</f>
        <v>1191.22645102983</v>
      </c>
      <c r="AL8" s="0" t="n">
        <f aca="false">'P&amp;L'!AL15</f>
        <v>1221.52859255043</v>
      </c>
      <c r="AM8" s="0" t="n">
        <f aca="false">'P&amp;L'!AM15</f>
        <v>1221.52859255043</v>
      </c>
      <c r="AN8" s="0" t="n">
        <f aca="false">'P&amp;L'!AN15</f>
        <v>1252.43677690144</v>
      </c>
      <c r="AO8" s="0" t="n">
        <f aca="false">'P&amp;L'!AO15</f>
        <v>1252.43677690144</v>
      </c>
      <c r="AP8" s="0" t="n">
        <f aca="false">'P&amp;L'!AP15</f>
        <v>1283.96312493947</v>
      </c>
      <c r="AQ8" s="0" t="n">
        <f aca="false">'P&amp;L'!AQ15</f>
        <v>1283.96312493947</v>
      </c>
      <c r="AR8" s="0" t="n">
        <f aca="false">'P&amp;L'!AR15</f>
        <v>1316.11999993826</v>
      </c>
      <c r="AS8" s="0" t="n">
        <f aca="false">'P&amp;L'!AS15</f>
        <v>1316.11999993826</v>
      </c>
      <c r="AT8" s="0" t="n">
        <f aca="false">'P&amp;L'!AT15</f>
        <v>1617.67001243702</v>
      </c>
      <c r="AU8" s="0" t="n">
        <f aca="false">'P&amp;L'!AU15</f>
        <v>1617.67001243702</v>
      </c>
      <c r="AV8" s="0" t="n">
        <f aca="false">'P&amp;L'!AV15</f>
        <v>1651.12602518576</v>
      </c>
      <c r="AW8" s="0" t="n">
        <f aca="false">'P&amp;L'!AW15</f>
        <v>1651.12602518576</v>
      </c>
      <c r="AX8" s="0" t="n">
        <f aca="false">'P&amp;L'!AX15</f>
        <v>1685.25115818948</v>
      </c>
      <c r="AY8" s="0" t="n">
        <f aca="false">'P&amp;L'!AY15</f>
        <v>1685.25115818948</v>
      </c>
      <c r="AZ8" s="0" t="n">
        <f aca="false">'P&amp;L'!AZ15</f>
        <v>1720.05879385327</v>
      </c>
      <c r="BA8" s="0" t="n">
        <f aca="false">'P&amp;L'!BA15</f>
        <v>1720.05879385327</v>
      </c>
      <c r="BB8" s="0" t="n">
        <f aca="false">'P&amp;L'!BB15</f>
        <v>1755.56258223033</v>
      </c>
      <c r="BC8" s="0" t="n">
        <f aca="false">'P&amp;L'!BC15</f>
        <v>1755.56258223033</v>
      </c>
    </row>
    <row r="9" customFormat="false" ht="15" hidden="false" customHeight="false" outlineLevel="0" collapsed="false">
      <c r="A9" s="1" t="s">
        <v>184</v>
      </c>
      <c r="C9" s="1" t="n">
        <f aca="false">C7-C8</f>
        <v>0</v>
      </c>
      <c r="D9" s="1" t="n">
        <f aca="false">D7-D8</f>
        <v>0</v>
      </c>
      <c r="E9" s="1" t="n">
        <f aca="false">E7-E8</f>
        <v>0</v>
      </c>
      <c r="F9" s="1" t="n">
        <f aca="false">F7-F8</f>
        <v>3426.664375</v>
      </c>
      <c r="G9" s="1" t="n">
        <f aca="false">G7-G8</f>
        <v>3423.17025802359</v>
      </c>
      <c r="H9" s="1" t="n">
        <f aca="false">H7-H8</f>
        <v>3481.61180283034</v>
      </c>
      <c r="I9" s="1" t="n">
        <f aca="false">I7-I8</f>
        <v>3477.73722570193</v>
      </c>
      <c r="J9" s="1" t="n">
        <f aca="false">J7-J8</f>
        <v>3537.0284827025</v>
      </c>
      <c r="K9" s="1" t="n">
        <f aca="false">K7-K8</f>
        <v>3532.74851956489</v>
      </c>
      <c r="L9" s="1" t="n">
        <f aca="false">L7-L8</f>
        <v>3592.88869014101</v>
      </c>
      <c r="M9" s="1" t="n">
        <f aca="false">M7-M8</f>
        <v>3588.17695110817</v>
      </c>
      <c r="N9" s="1" t="n">
        <f aca="false">N7-N8</f>
        <v>3649.16422860593</v>
      </c>
      <c r="O9" s="1" t="n">
        <f aca="false">O7-O8</f>
        <v>3643.99277664909</v>
      </c>
      <c r="P9" s="1" t="n">
        <f aca="false">P7-P8</f>
        <v>3705.82427090452</v>
      </c>
      <c r="Q9" s="1" t="n">
        <f aca="false">Q7-Q8</f>
        <v>3700.16353407446</v>
      </c>
      <c r="R9" s="1" t="n">
        <f aca="false">R7-R8</f>
        <v>3762.83519134548</v>
      </c>
      <c r="S9" s="1" t="n">
        <f aca="false">S7-S8</f>
        <v>3756.6538700704</v>
      </c>
      <c r="T9" s="1" t="n">
        <f aca="false">T7-T8</f>
        <v>3820.16038811143</v>
      </c>
      <c r="U9" s="1" t="n">
        <f aca="false">U7-U8</f>
        <v>3813.42535729511</v>
      </c>
      <c r="V9" s="1" t="n">
        <f aca="false">V7-V8</f>
        <v>3877.76009529555</v>
      </c>
      <c r="W9" s="1" t="n">
        <f aca="false">W7-W8</f>
        <v>3870.43630092545</v>
      </c>
      <c r="X9" s="1" t="n">
        <f aca="false">X7-X8</f>
        <v>3935.59118401766</v>
      </c>
      <c r="Y9" s="1" t="n">
        <f aca="false">Y7-Y8</f>
        <v>3927.64153397605</v>
      </c>
      <c r="Z9" s="1" t="n">
        <f aca="false">Z7-Z8</f>
        <v>3993.60695200194</v>
      </c>
      <c r="AA9" s="1" t="n">
        <f aca="false">AA7-AA8</f>
        <v>3984.9922007563</v>
      </c>
      <c r="AB9" s="1" t="n">
        <f aca="false">AB7-AB8</f>
        <v>4051.75690096391</v>
      </c>
      <c r="AC9" s="1" t="n">
        <f aca="false">AC7-AC8</f>
        <v>4042.43552779466</v>
      </c>
      <c r="AD9" s="1" t="n">
        <f aca="false">AD7-AD8</f>
        <v>4459.58131504478</v>
      </c>
      <c r="AE9" s="1" t="n">
        <f aca="false">AE7-AE8</f>
        <v>4448.46316939488</v>
      </c>
      <c r="AF9" s="1" t="n">
        <f aca="false">AF7-AF8</f>
        <v>4522.702428958</v>
      </c>
      <c r="AG9" s="1" t="n">
        <f aca="false">AG7-AG8</f>
        <v>4510.70801463289</v>
      </c>
      <c r="AH9" s="1" t="n">
        <f aca="false">AH7-AH8</f>
        <v>4585.7601712166</v>
      </c>
      <c r="AI9" s="1" t="n">
        <f aca="false">AI7-AI8</f>
        <v>4572.83550350961</v>
      </c>
      <c r="AJ9" s="1" t="n">
        <f aca="false">AJ7-AJ8</f>
        <v>4648.6793530895</v>
      </c>
      <c r="AK9" s="1" t="n">
        <f aca="false">AK7-AK8</f>
        <v>4648.6793530895</v>
      </c>
      <c r="AL9" s="1" t="n">
        <f aca="false">AL7-AL8</f>
        <v>4739.58577765129</v>
      </c>
      <c r="AM9" s="1" t="n">
        <f aca="false">AM7-AM8</f>
        <v>4739.58577765129</v>
      </c>
      <c r="AN9" s="1" t="n">
        <f aca="false">AN7-AN8</f>
        <v>4832.31033070431</v>
      </c>
      <c r="AO9" s="1" t="n">
        <f aca="false">AO7-AO8</f>
        <v>4832.31033070431</v>
      </c>
      <c r="AP9" s="1" t="n">
        <f aca="false">AP7-AP8</f>
        <v>4926.8893748184</v>
      </c>
      <c r="AQ9" s="1" t="n">
        <f aca="false">AQ7-AQ8</f>
        <v>4926.8893748184</v>
      </c>
      <c r="AR9" s="1" t="n">
        <f aca="false">AR7-AR8</f>
        <v>5023.35999981477</v>
      </c>
      <c r="AS9" s="1" t="n">
        <f aca="false">AS7-AS8</f>
        <v>5023.35999981477</v>
      </c>
      <c r="AT9" s="1" t="n">
        <f aca="false">AT7-AT8</f>
        <v>4853.01003731106</v>
      </c>
      <c r="AU9" s="1" t="n">
        <f aca="false">AU7-AU8</f>
        <v>4853.01003731106</v>
      </c>
      <c r="AV9" s="1" t="n">
        <f aca="false">AV7-AV8</f>
        <v>4953.37807555728</v>
      </c>
      <c r="AW9" s="1" t="n">
        <f aca="false">AW7-AW8</f>
        <v>4953.37807555728</v>
      </c>
      <c r="AX9" s="1" t="n">
        <f aca="false">AX7-AX8</f>
        <v>5055.75347456843</v>
      </c>
      <c r="AY9" s="1" t="n">
        <f aca="false">AY7-AY8</f>
        <v>5055.75347456843</v>
      </c>
      <c r="AZ9" s="1" t="n">
        <f aca="false">AZ7-AZ8</f>
        <v>5160.1763815598</v>
      </c>
      <c r="BA9" s="1" t="n">
        <f aca="false">BA7-BA8</f>
        <v>5160.1763815598</v>
      </c>
      <c r="BB9" s="1" t="n">
        <f aca="false">BB7-BB8</f>
        <v>5266.68774669099</v>
      </c>
      <c r="BC9" s="1" t="n">
        <f aca="false">BC7-BC8</f>
        <v>5266.68774669099</v>
      </c>
    </row>
    <row r="10" customFormat="false" ht="15" hidden="false" customHeight="false" outlineLevel="0" collapsed="false">
      <c r="A10" s="0" t="s">
        <v>185</v>
      </c>
      <c r="C10" s="0" t="n">
        <f aca="false">'Debt Service'!C22</f>
        <v>0</v>
      </c>
      <c r="D10" s="0" t="n">
        <f aca="false">'Debt Service'!D22</f>
        <v>0</v>
      </c>
      <c r="E10" s="0" t="n">
        <f aca="false">'Debt Service'!E22</f>
        <v>0</v>
      </c>
      <c r="F10" s="0" t="n">
        <f aca="false">'Debt Service'!F22</f>
        <v>1395.1101965681</v>
      </c>
      <c r="G10" s="0" t="n">
        <f aca="false">'Debt Service'!G22</f>
        <v>1395.1101965681</v>
      </c>
      <c r="H10" s="0" t="n">
        <f aca="false">'Debt Service'!H22</f>
        <v>1422.11256636212</v>
      </c>
      <c r="I10" s="0" t="n">
        <f aca="false">'Debt Service'!I22</f>
        <v>1422.11256636212</v>
      </c>
      <c r="J10" s="0" t="n">
        <f aca="false">'Debt Service'!J22</f>
        <v>1449.65498355201</v>
      </c>
      <c r="K10" s="0" t="n">
        <f aca="false">'Debt Service'!K22</f>
        <v>1449.65498355201</v>
      </c>
      <c r="L10" s="0" t="n">
        <f aca="false">'Debt Service'!L22</f>
        <v>1477.74824908571</v>
      </c>
      <c r="M10" s="0" t="n">
        <f aca="false">'Debt Service'!M22</f>
        <v>1477.74824908571</v>
      </c>
      <c r="N10" s="0" t="n">
        <f aca="false">'Debt Service'!N22</f>
        <v>1506.40337993008</v>
      </c>
      <c r="O10" s="0" t="n">
        <f aca="false">'Debt Service'!O22</f>
        <v>1506.40337993008</v>
      </c>
      <c r="P10" s="0" t="n">
        <f aca="false">'Debt Service'!P22</f>
        <v>1535.63161339133</v>
      </c>
      <c r="Q10" s="0" t="n">
        <f aca="false">'Debt Service'!Q22</f>
        <v>1535.63161339133</v>
      </c>
      <c r="R10" s="0" t="n">
        <f aca="false">'Debt Service'!R22</f>
        <v>1565.44441152181</v>
      </c>
      <c r="S10" s="0" t="n">
        <f aca="false">'Debt Service'!S22</f>
        <v>1565.44441152181</v>
      </c>
      <c r="T10" s="0" t="n">
        <f aca="false">'Debt Service'!T22</f>
        <v>1595.8534656149</v>
      </c>
      <c r="U10" s="0" t="n">
        <f aca="false">'Debt Service'!U22</f>
        <v>1595.8534656149</v>
      </c>
      <c r="V10" s="0" t="n">
        <f aca="false">'Debt Service'!V22</f>
        <v>1626.87070078985</v>
      </c>
      <c r="W10" s="0" t="n">
        <f aca="false">'Debt Service'!W22</f>
        <v>1626.87070078985</v>
      </c>
      <c r="X10" s="0" t="n">
        <f aca="false">'Debt Service'!X22</f>
        <v>1658.50828066831</v>
      </c>
      <c r="Y10" s="0" t="n">
        <f aca="false">'Debt Service'!Y22</f>
        <v>1658.50828066831</v>
      </c>
      <c r="Z10" s="0" t="n">
        <f aca="false">'Debt Service'!Z22</f>
        <v>1690.77861214432</v>
      </c>
      <c r="AA10" s="0" t="n">
        <f aca="false">'Debt Service'!AA22</f>
        <v>1690.77861214432</v>
      </c>
      <c r="AB10" s="0" t="n">
        <f aca="false">'Debt Service'!AB22</f>
        <v>1723.69435024987</v>
      </c>
      <c r="AC10" s="0" t="n">
        <f aca="false">'Debt Service'!AC22</f>
        <v>1723.69435024987</v>
      </c>
      <c r="AD10" s="0" t="n">
        <f aca="false">'Debt Service'!AD22</f>
        <v>1909.44673830427</v>
      </c>
      <c r="AE10" s="0" t="n">
        <f aca="false">'Debt Service'!AE22</f>
        <v>1909.44673830427</v>
      </c>
      <c r="AF10" s="0" t="n">
        <f aca="false">'Debt Service'!AF22</f>
        <v>1946.73583893301</v>
      </c>
      <c r="AG10" s="0" t="n">
        <f aca="false">'Debt Service'!AG22</f>
        <v>1946.73583893301</v>
      </c>
      <c r="AH10" s="0" t="n">
        <f aca="false">'Debt Service'!AH22</f>
        <v>1984.77072157432</v>
      </c>
      <c r="AI10" s="7" t="n">
        <f aca="false">'Debt Service'!AI22</f>
        <v>1984.77072157424</v>
      </c>
      <c r="AJ10" s="8" t="n">
        <f aca="false">'Debt Service'!AJ22</f>
        <v>0</v>
      </c>
      <c r="AK10" s="8" t="n">
        <f aca="false">'Debt Service'!AK22</f>
        <v>0</v>
      </c>
      <c r="AL10" s="8" t="n">
        <f aca="false">'Debt Service'!AL22</f>
        <v>0</v>
      </c>
      <c r="AM10" s="8" t="n">
        <f aca="false">'Debt Service'!AM22</f>
        <v>0</v>
      </c>
      <c r="AN10" s="8" t="n">
        <f aca="false">'Debt Service'!AN22</f>
        <v>0</v>
      </c>
      <c r="AO10" s="8" t="n">
        <f aca="false">'Debt Service'!AO22</f>
        <v>0</v>
      </c>
      <c r="AP10" s="8" t="n">
        <f aca="false">'Debt Service'!AP22</f>
        <v>0</v>
      </c>
      <c r="AQ10" s="8" t="n">
        <f aca="false">'Debt Service'!AQ22</f>
        <v>0</v>
      </c>
      <c r="AR10" s="8" t="n">
        <f aca="false">'Debt Service'!AR22</f>
        <v>0</v>
      </c>
      <c r="AS10" s="8" t="n">
        <f aca="false">'Debt Service'!AS22</f>
        <v>0</v>
      </c>
      <c r="AT10" s="8" t="n">
        <f aca="false">'Debt Service'!AT22</f>
        <v>0</v>
      </c>
      <c r="AU10" s="8" t="n">
        <f aca="false">'Debt Service'!AU22</f>
        <v>0</v>
      </c>
      <c r="AV10" s="8" t="n">
        <f aca="false">'Debt Service'!AV22</f>
        <v>0</v>
      </c>
      <c r="AW10" s="8" t="n">
        <f aca="false">'Debt Service'!AW22</f>
        <v>0</v>
      </c>
      <c r="AX10" s="8" t="n">
        <f aca="false">'Debt Service'!AX22</f>
        <v>0</v>
      </c>
      <c r="AY10" s="8" t="n">
        <f aca="false">'Debt Service'!AY22</f>
        <v>0</v>
      </c>
      <c r="AZ10" s="8" t="n">
        <f aca="false">'Debt Service'!AZ22</f>
        <v>0</v>
      </c>
      <c r="BA10" s="8" t="n">
        <f aca="false">'Debt Service'!BA22</f>
        <v>0</v>
      </c>
      <c r="BB10" s="8" t="n">
        <f aca="false">'Debt Service'!BB22</f>
        <v>0</v>
      </c>
      <c r="BC10" s="8" t="n">
        <f aca="false">'Debt Service'!BC22</f>
        <v>0</v>
      </c>
    </row>
    <row r="11" customFormat="false" ht="15" hidden="false" customHeight="false" outlineLevel="0" collapsed="false">
      <c r="A11" s="1" t="s">
        <v>186</v>
      </c>
      <c r="C11" s="0" t="str">
        <f aca="false">IF(C10=0,"n/a",C9/C10)</f>
        <v>n/a</v>
      </c>
      <c r="D11" s="0" t="str">
        <f aca="false">IF(D10=0,"n/a",D9/D10)</f>
        <v>n/a</v>
      </c>
      <c r="E11" s="0" t="str">
        <f aca="false">IF(E10=0,"n/a",E9/E10)</f>
        <v>n/a</v>
      </c>
      <c r="F11" s="8" t="n">
        <f aca="false">IF(F10=0,"n/a",F9/F10)</f>
        <v>2.45619620832062</v>
      </c>
      <c r="G11" s="8" t="n">
        <f aca="false">IF(G10=0,"n/a",G9/G10)</f>
        <v>2.45369166281231</v>
      </c>
      <c r="H11" s="8" t="n">
        <f aca="false">IF(H10=0,"n/a",H9/H10)</f>
        <v>2.4481970592079</v>
      </c>
      <c r="I11" s="8" t="n">
        <f aca="false">IF(I10=0,"n/a",I9/I10)</f>
        <v>2.445472537099</v>
      </c>
      <c r="J11" s="8" t="n">
        <f aca="false">IF(J10=0,"n/a",J9/J10)</f>
        <v>2.43991054618796</v>
      </c>
      <c r="K11" s="8" t="n">
        <f aca="false">IF(K10=0,"n/a",K9/K10)</f>
        <v>2.43695814497101</v>
      </c>
      <c r="L11" s="8" t="n">
        <f aca="false">IF(L10=0,"n/a",L9/L10)</f>
        <v>2.43132664333316</v>
      </c>
      <c r="M11" s="8" t="n">
        <f aca="false">IF(M10=0,"n/a",M9/M10)</f>
        <v>2.4281381847877</v>
      </c>
      <c r="N11" s="8" t="n">
        <f aca="false">IF(N10=0,"n/a",N9/N10)</f>
        <v>2.42243497141869</v>
      </c>
      <c r="O11" s="8" t="n">
        <f aca="false">IF(O10=0,"n/a",O9/O10)</f>
        <v>2.41900199189558</v>
      </c>
      <c r="P11" s="8" t="n">
        <f aca="false">IF(P10=0,"n/a",P9/P10)</f>
        <v>2.41322478554637</v>
      </c>
      <c r="Q11" s="8" t="n">
        <f aca="false">IF(Q10=0,"n/a",Q9/Q10)</f>
        <v>2.40953852591177</v>
      </c>
      <c r="R11" s="8" t="n">
        <f aca="false">IF(R10=0,"n/a",R9/R10)</f>
        <v>2.40368496233445</v>
      </c>
      <c r="S11" s="8" t="n">
        <f aca="false">IF(S10=0,"n/a",S9/S10)</f>
        <v>2.39973635756153</v>
      </c>
      <c r="T11" s="8" t="n">
        <f aca="false">IF(T10=0,"n/a",T9/T10)</f>
        <v>2.39380398665831</v>
      </c>
      <c r="U11" s="8" t="n">
        <f aca="false">IF(U10=0,"n/a",U9/U10)</f>
        <v>2.38958365505429</v>
      </c>
      <c r="V11" s="8" t="n">
        <f aca="false">IF(V10=0,"n/a",V9/V10)</f>
        <v>2.38356993792615</v>
      </c>
      <c r="W11" s="8" t="n">
        <f aca="false">IF(W10=0,"n/a",W9/W10)</f>
        <v>2.379068169982</v>
      </c>
      <c r="X11" s="8" t="n">
        <f aca="false">IF(X10=0,"n/a",X9/X10)</f>
        <v>2.37297047587353</v>
      </c>
      <c r="Y11" s="8" t="n">
        <f aca="false">IF(Y10=0,"n/a",Y9/Y10)</f>
        <v>2.36817722272293</v>
      </c>
      <c r="Z11" s="8" t="n">
        <f aca="false">IF(Z10=0,"n/a",Z9/Z10)</f>
        <v>2.36199282585971</v>
      </c>
      <c r="AA11" s="8" t="n">
        <f aca="false">IF(AA10=0,"n/a",AA9/AA10)</f>
        <v>2.35689768733373</v>
      </c>
      <c r="AB11" s="8" t="n">
        <f aca="false">IF(AB10=0,"n/a",AB9/AB10)</f>
        <v>2.35062376364845</v>
      </c>
      <c r="AC11" s="8" t="n">
        <f aca="false">IF(AC10=0,"n/a",AC9/AC10)</f>
        <v>2.34521597591166</v>
      </c>
      <c r="AD11" s="8" t="n">
        <f aca="false">IF(AD10=0,"n/a",AD9/AD10)</f>
        <v>2.33553585213129</v>
      </c>
      <c r="AE11" s="8" t="n">
        <f aca="false">IF(AE10=0,"n/a",AE9/AE10)</f>
        <v>2.32971314682778</v>
      </c>
      <c r="AF11" s="8" t="n">
        <f aca="false">IF(AF10=0,"n/a",AF9/AF10)</f>
        <v>2.32322348955</v>
      </c>
      <c r="AG11" s="8" t="n">
        <f aca="false">IF(AG10=0,"n/a",AG9/AG10)</f>
        <v>2.31706219427551</v>
      </c>
      <c r="AH11" s="8" t="n">
        <f aca="false">IF(AH10=0,"n/a",AH9/AH10)</f>
        <v>2.31047350778087</v>
      </c>
      <c r="AI11" s="8" t="n">
        <f aca="false">IF(AI10=0,"n/a",AI9/AI10)</f>
        <v>2.30396158800782</v>
      </c>
      <c r="AJ11" s="0" t="str">
        <f aca="false">IF(AJ10=0,"n/a",AJ9/AJ10)</f>
        <v>n/a</v>
      </c>
      <c r="AK11" s="0" t="str">
        <f aca="false">IF(AK10=0,"n/a",AK9/AK10)</f>
        <v>n/a</v>
      </c>
      <c r="AL11" s="0" t="str">
        <f aca="false">IF(AL10=0,"n/a",AL9/AL10)</f>
        <v>n/a</v>
      </c>
      <c r="AM11" s="0" t="str">
        <f aca="false">IF(AM10=0,"n/a",AM9/AM10)</f>
        <v>n/a</v>
      </c>
      <c r="AN11" s="0" t="str">
        <f aca="false">IF(AN10=0,"n/a",AN9/AN10)</f>
        <v>n/a</v>
      </c>
      <c r="AO11" s="0" t="str">
        <f aca="false">IF(AO10=0,"n/a",AO9/AO10)</f>
        <v>n/a</v>
      </c>
      <c r="AP11" s="0" t="str">
        <f aca="false">IF(AP10=0,"n/a",AP9/AP10)</f>
        <v>n/a</v>
      </c>
      <c r="AQ11" s="0" t="str">
        <f aca="false">IF(AQ10=0,"n/a",AQ9/AQ10)</f>
        <v>n/a</v>
      </c>
      <c r="AR11" s="0" t="str">
        <f aca="false">IF(AR10=0,"n/a",AR9/AR10)</f>
        <v>n/a</v>
      </c>
      <c r="AS11" s="0" t="str">
        <f aca="false">IF(AS10=0,"n/a",AS9/AS10)</f>
        <v>n/a</v>
      </c>
      <c r="AT11" s="0" t="str">
        <f aca="false">IF(AT10=0,"n/a",AT9/AT10)</f>
        <v>n/a</v>
      </c>
      <c r="AU11" s="0" t="str">
        <f aca="false">IF(AU10=0,"n/a",AU9/AU10)</f>
        <v>n/a</v>
      </c>
      <c r="AV11" s="0" t="str">
        <f aca="false">IF(AV10=0,"n/a",AV9/AV10)</f>
        <v>n/a</v>
      </c>
      <c r="AW11" s="0" t="str">
        <f aca="false">IF(AW10=0,"n/a",AW9/AW10)</f>
        <v>n/a</v>
      </c>
      <c r="AX11" s="0" t="str">
        <f aca="false">IF(AX10=0,"n/a",AX9/AX10)</f>
        <v>n/a</v>
      </c>
      <c r="AY11" s="0" t="str">
        <f aca="false">IF(AY10=0,"n/a",AY9/AY10)</f>
        <v>n/a</v>
      </c>
      <c r="AZ11" s="0" t="str">
        <f aca="false">IF(AZ10=0,"n/a",AZ9/AZ10)</f>
        <v>n/a</v>
      </c>
      <c r="BA11" s="0" t="str">
        <f aca="false">IF(BA10=0,"n/a",BA9/BA10)</f>
        <v>n/a</v>
      </c>
      <c r="BB11" s="0" t="str">
        <f aca="false">IF(BB10=0,"n/a",BB9/BB10)</f>
        <v>n/a</v>
      </c>
      <c r="BC11" s="0" t="str">
        <f aca="false">IF(BC10=0,"n/a",BC9/BC10)</f>
        <v>n/a</v>
      </c>
    </row>
    <row r="12" customFormat="false" ht="15" hidden="false" customHeight="false" outlineLevel="0" collapsed="false">
      <c r="A12" s="1" t="s">
        <v>187</v>
      </c>
      <c r="C12" s="1" t="n">
        <f aca="false">C6+C9</f>
        <v>-19300</v>
      </c>
      <c r="D12" s="1" t="n">
        <f aca="false">D6+D9</f>
        <v>-21900</v>
      </c>
      <c r="E12" s="1" t="n">
        <f aca="false">E6+E9</f>
        <v>-1800</v>
      </c>
      <c r="F12" s="1" t="n">
        <f aca="false">F6+F9</f>
        <v>3426.664375</v>
      </c>
      <c r="G12" s="1" t="n">
        <f aca="false">G6+G9</f>
        <v>3423.17025802359</v>
      </c>
      <c r="H12" s="1" t="n">
        <f aca="false">H6+H9</f>
        <v>3481.61180283034</v>
      </c>
      <c r="I12" s="1" t="n">
        <f aca="false">I6+I9</f>
        <v>3477.73722570193</v>
      </c>
      <c r="J12" s="1" t="n">
        <f aca="false">J6+J9</f>
        <v>3537.0284827025</v>
      </c>
      <c r="K12" s="1" t="n">
        <f aca="false">K6+K9</f>
        <v>3532.74851956489</v>
      </c>
      <c r="L12" s="1" t="n">
        <f aca="false">L6+L9</f>
        <v>3592.88869014101</v>
      </c>
      <c r="M12" s="1" t="n">
        <f aca="false">M6+M9</f>
        <v>3588.17695110817</v>
      </c>
      <c r="N12" s="1" t="n">
        <f aca="false">N6+N9</f>
        <v>3649.16422860593</v>
      </c>
      <c r="O12" s="1" t="n">
        <f aca="false">O6+O9</f>
        <v>3643.99277664909</v>
      </c>
      <c r="P12" s="1" t="n">
        <f aca="false">P6+P9</f>
        <v>3705.82427090452</v>
      </c>
      <c r="Q12" s="1" t="n">
        <f aca="false">Q6+Q9</f>
        <v>3700.16353407446</v>
      </c>
      <c r="R12" s="1" t="n">
        <f aca="false">R6+R9</f>
        <v>3762.83519134548</v>
      </c>
      <c r="S12" s="1" t="n">
        <f aca="false">S6+S9</f>
        <v>3756.6538700704</v>
      </c>
      <c r="T12" s="1" t="n">
        <f aca="false">T6+T9</f>
        <v>3820.16038811143</v>
      </c>
      <c r="U12" s="1" t="n">
        <f aca="false">U6+U9</f>
        <v>3813.42535729511</v>
      </c>
      <c r="V12" s="1" t="n">
        <f aca="false">V6+V9</f>
        <v>3877.76009529555</v>
      </c>
      <c r="W12" s="1" t="n">
        <f aca="false">W6+W9</f>
        <v>3870.43630092545</v>
      </c>
      <c r="X12" s="1" t="n">
        <f aca="false">X6+X9</f>
        <v>3935.59118401766</v>
      </c>
      <c r="Y12" s="1" t="n">
        <f aca="false">Y6+Y9</f>
        <v>3927.64153397605</v>
      </c>
      <c r="Z12" s="1" t="n">
        <f aca="false">Z6+Z9</f>
        <v>3993.60695200194</v>
      </c>
      <c r="AA12" s="1" t="n">
        <f aca="false">AA6+AA9</f>
        <v>3984.9922007563</v>
      </c>
      <c r="AB12" s="1" t="n">
        <f aca="false">AB6+AB9</f>
        <v>4051.75690096391</v>
      </c>
      <c r="AC12" s="1" t="n">
        <f aca="false">AC6+AC9</f>
        <v>4042.43552779466</v>
      </c>
      <c r="AD12" s="1" t="n">
        <f aca="false">AD6+AD9</f>
        <v>4459.58131504478</v>
      </c>
      <c r="AE12" s="1" t="n">
        <f aca="false">AE6+AE9</f>
        <v>4448.46316939488</v>
      </c>
      <c r="AF12" s="1" t="n">
        <f aca="false">AF6+AF9</f>
        <v>4522.702428958</v>
      </c>
      <c r="AG12" s="1" t="n">
        <f aca="false">AG6+AG9</f>
        <v>4510.70801463289</v>
      </c>
      <c r="AH12" s="1" t="n">
        <f aca="false">AH6+AH9</f>
        <v>4585.7601712166</v>
      </c>
      <c r="AI12" s="1" t="n">
        <f aca="false">AI6+AI9</f>
        <v>4572.83550350961</v>
      </c>
      <c r="AJ12" s="1" t="n">
        <f aca="false">AJ6+AJ9</f>
        <v>4648.6793530895</v>
      </c>
      <c r="AK12" s="1" t="n">
        <f aca="false">AK6+AK9</f>
        <v>4648.6793530895</v>
      </c>
      <c r="AL12" s="1" t="n">
        <f aca="false">AL6+AL9</f>
        <v>4739.58577765129</v>
      </c>
      <c r="AM12" s="1" t="n">
        <f aca="false">AM6+AM9</f>
        <v>4739.58577765129</v>
      </c>
      <c r="AN12" s="1" t="n">
        <f aca="false">AN6+AN9</f>
        <v>4832.31033070431</v>
      </c>
      <c r="AO12" s="1" t="n">
        <f aca="false">AO6+AO9</f>
        <v>4832.31033070431</v>
      </c>
      <c r="AP12" s="1" t="n">
        <f aca="false">AP6+AP9</f>
        <v>4926.8893748184</v>
      </c>
      <c r="AQ12" s="1" t="n">
        <f aca="false">AQ6+AQ9</f>
        <v>4926.8893748184</v>
      </c>
      <c r="AR12" s="1" t="n">
        <f aca="false">AR6+AR9</f>
        <v>5023.35999981477</v>
      </c>
      <c r="AS12" s="1" t="n">
        <f aca="false">AS6+AS9</f>
        <v>5023.35999981477</v>
      </c>
      <c r="AT12" s="1" t="n">
        <f aca="false">AT6+AT9</f>
        <v>4853.01003731106</v>
      </c>
      <c r="AU12" s="1" t="n">
        <f aca="false">AU6+AU9</f>
        <v>4853.01003731106</v>
      </c>
      <c r="AV12" s="1" t="n">
        <f aca="false">AV6+AV9</f>
        <v>4953.37807555728</v>
      </c>
      <c r="AW12" s="1" t="n">
        <f aca="false">AW6+AW9</f>
        <v>4953.37807555728</v>
      </c>
      <c r="AX12" s="1" t="n">
        <f aca="false">AX6+AX9</f>
        <v>5055.75347456843</v>
      </c>
      <c r="AY12" s="1" t="n">
        <f aca="false">AY6+AY9</f>
        <v>5055.75347456843</v>
      </c>
      <c r="AZ12" s="1" t="n">
        <f aca="false">AZ6+AZ9</f>
        <v>5160.1763815598</v>
      </c>
      <c r="BA12" s="1" t="n">
        <f aca="false">BA6+BA9</f>
        <v>5160.1763815598</v>
      </c>
      <c r="BB12" s="1" t="n">
        <f aca="false">BB6+BB9</f>
        <v>5266.68774669099</v>
      </c>
      <c r="BC12" s="1" t="n">
        <f aca="false">BC6+BC9</f>
        <v>5266.68774669099</v>
      </c>
    </row>
    <row r="14" customFormat="false" ht="15" hidden="false" customHeight="false" outlineLevel="0" collapsed="false">
      <c r="A14" s="1" t="s">
        <v>188</v>
      </c>
      <c r="C14" s="1" t="n">
        <f aca="false">XIRR(C12:BC12,C4:BC4)</f>
        <v>0.160907156743545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5" min="3" style="0" width="13"/>
  </cols>
  <sheetData>
    <row r="1" customFormat="false" ht="15" hidden="false" customHeight="false" outlineLevel="0" collapsed="false">
      <c r="A1" s="1" t="s">
        <v>189</v>
      </c>
    </row>
    <row r="3" customFormat="false" ht="15" hidden="false" customHeight="false" outlineLevel="0" collapsed="false">
      <c r="A3" s="0" t="s">
        <v>190</v>
      </c>
    </row>
    <row r="5" customFormat="false" ht="15" hidden="false" customHeight="false" outlineLevel="0" collapsed="false">
      <c r="A5" s="0" t="s">
        <v>55</v>
      </c>
      <c r="C5" s="1" t="s">
        <v>57</v>
      </c>
      <c r="D5" s="1" t="s">
        <v>58</v>
      </c>
      <c r="E5" s="1" t="s">
        <v>59</v>
      </c>
      <c r="F5" s="1" t="s">
        <v>60</v>
      </c>
      <c r="G5" s="1" t="s">
        <v>61</v>
      </c>
      <c r="H5" s="1" t="s">
        <v>62</v>
      </c>
      <c r="I5" s="1" t="s">
        <v>63</v>
      </c>
      <c r="J5" s="1" t="s">
        <v>64</v>
      </c>
      <c r="K5" s="1" t="s">
        <v>65</v>
      </c>
      <c r="L5" s="1" t="s">
        <v>66</v>
      </c>
      <c r="M5" s="1" t="s">
        <v>67</v>
      </c>
      <c r="N5" s="1" t="s">
        <v>68</v>
      </c>
      <c r="O5" s="1" t="s">
        <v>69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1" t="s">
        <v>76</v>
      </c>
      <c r="W5" s="1" t="s">
        <v>77</v>
      </c>
      <c r="X5" s="1" t="s">
        <v>78</v>
      </c>
      <c r="Y5" s="1" t="s">
        <v>79</v>
      </c>
      <c r="Z5" s="1" t="s">
        <v>80</v>
      </c>
      <c r="AA5" s="1" t="s">
        <v>81</v>
      </c>
      <c r="AB5" s="1" t="s">
        <v>82</v>
      </c>
      <c r="AC5" s="1" t="s">
        <v>83</v>
      </c>
      <c r="AD5" s="1" t="s">
        <v>84</v>
      </c>
      <c r="AE5" s="1" t="s">
        <v>85</v>
      </c>
      <c r="AF5" s="1" t="s">
        <v>86</v>
      </c>
      <c r="AG5" s="1" t="s">
        <v>87</v>
      </c>
      <c r="AH5" s="1" t="s">
        <v>88</v>
      </c>
      <c r="AI5" s="1" t="s">
        <v>89</v>
      </c>
      <c r="AJ5" s="1" t="s">
        <v>90</v>
      </c>
      <c r="AK5" s="1" t="s">
        <v>91</v>
      </c>
      <c r="AL5" s="1" t="s">
        <v>92</v>
      </c>
      <c r="AM5" s="1" t="s">
        <v>93</v>
      </c>
      <c r="AN5" s="1" t="s">
        <v>94</v>
      </c>
      <c r="AO5" s="1" t="s">
        <v>95</v>
      </c>
      <c r="AP5" s="1" t="s">
        <v>96</v>
      </c>
      <c r="AQ5" s="1" t="s">
        <v>97</v>
      </c>
      <c r="AR5" s="1" t="s">
        <v>98</v>
      </c>
      <c r="AS5" s="1" t="s">
        <v>99</v>
      </c>
      <c r="AT5" s="1" t="s">
        <v>100</v>
      </c>
      <c r="AU5" s="1" t="s">
        <v>101</v>
      </c>
      <c r="AV5" s="1" t="s">
        <v>102</v>
      </c>
      <c r="AW5" s="1" t="s">
        <v>103</v>
      </c>
      <c r="AX5" s="1" t="s">
        <v>104</v>
      </c>
      <c r="AY5" s="1" t="s">
        <v>105</v>
      </c>
      <c r="AZ5" s="1" t="s">
        <v>106</v>
      </c>
      <c r="BA5" s="1" t="s">
        <v>107</v>
      </c>
      <c r="BB5" s="1" t="s">
        <v>108</v>
      </c>
      <c r="BC5" s="1" t="s">
        <v>109</v>
      </c>
    </row>
    <row r="6" customFormat="false" ht="15" hidden="false" customHeight="false" outlineLevel="0" collapsed="false">
      <c r="A6" s="0" t="s">
        <v>110</v>
      </c>
      <c r="C6" s="5" t="n">
        <v>47665</v>
      </c>
      <c r="D6" s="5" t="n">
        <v>47849</v>
      </c>
      <c r="E6" s="5" t="n">
        <v>48030</v>
      </c>
      <c r="F6" s="5" t="n">
        <v>48214</v>
      </c>
      <c r="G6" s="5" t="n">
        <v>48396</v>
      </c>
      <c r="H6" s="5" t="n">
        <v>48580</v>
      </c>
      <c r="I6" s="5" t="n">
        <v>48761</v>
      </c>
      <c r="J6" s="5" t="n">
        <v>48945</v>
      </c>
      <c r="K6" s="5" t="n">
        <v>49126</v>
      </c>
      <c r="L6" s="5" t="n">
        <v>49310</v>
      </c>
      <c r="M6" s="5" t="n">
        <v>49491</v>
      </c>
      <c r="N6" s="5" t="n">
        <v>49675</v>
      </c>
      <c r="O6" s="5" t="n">
        <v>49857</v>
      </c>
      <c r="P6" s="5" t="n">
        <v>50041</v>
      </c>
      <c r="Q6" s="5" t="n">
        <v>50222</v>
      </c>
      <c r="R6" s="5" t="n">
        <v>50406</v>
      </c>
      <c r="S6" s="5" t="n">
        <v>50587</v>
      </c>
      <c r="T6" s="5" t="n">
        <v>50771</v>
      </c>
      <c r="U6" s="5" t="n">
        <v>50952</v>
      </c>
      <c r="V6" s="5" t="n">
        <v>51136</v>
      </c>
      <c r="W6" s="5" t="n">
        <v>51318</v>
      </c>
      <c r="X6" s="5" t="n">
        <v>51502</v>
      </c>
      <c r="Y6" s="5" t="n">
        <v>51683</v>
      </c>
      <c r="Z6" s="5" t="n">
        <v>51867</v>
      </c>
      <c r="AA6" s="5" t="n">
        <v>52048</v>
      </c>
      <c r="AB6" s="5" t="n">
        <v>52232</v>
      </c>
      <c r="AC6" s="5" t="n">
        <v>52413</v>
      </c>
      <c r="AD6" s="5" t="n">
        <v>52597</v>
      </c>
      <c r="AE6" s="5" t="n">
        <v>52779</v>
      </c>
      <c r="AF6" s="5" t="n">
        <v>52963</v>
      </c>
      <c r="AG6" s="5" t="n">
        <v>53144</v>
      </c>
      <c r="AH6" s="5" t="n">
        <v>53328</v>
      </c>
      <c r="AI6" s="5" t="n">
        <v>53509</v>
      </c>
      <c r="AJ6" s="5" t="n">
        <v>53693</v>
      </c>
      <c r="AK6" s="5" t="n">
        <v>53874</v>
      </c>
      <c r="AL6" s="5" t="n">
        <v>54058</v>
      </c>
      <c r="AM6" s="5" t="n">
        <v>54240</v>
      </c>
      <c r="AN6" s="5" t="n">
        <v>54424</v>
      </c>
      <c r="AO6" s="5" t="n">
        <v>54605</v>
      </c>
      <c r="AP6" s="5" t="n">
        <v>54789</v>
      </c>
      <c r="AQ6" s="5" t="n">
        <v>54970</v>
      </c>
      <c r="AR6" s="5" t="n">
        <v>55154</v>
      </c>
      <c r="AS6" s="5" t="n">
        <v>55335</v>
      </c>
      <c r="AT6" s="5" t="n">
        <v>55519</v>
      </c>
      <c r="AU6" s="5" t="n">
        <v>55701</v>
      </c>
      <c r="AV6" s="5" t="n">
        <v>55885</v>
      </c>
      <c r="AW6" s="5" t="n">
        <v>56066</v>
      </c>
      <c r="AX6" s="5" t="n">
        <v>56250</v>
      </c>
      <c r="AY6" s="5" t="n">
        <v>56431</v>
      </c>
      <c r="AZ6" s="5" t="n">
        <v>56615</v>
      </c>
      <c r="BA6" s="5" t="n">
        <v>56796</v>
      </c>
      <c r="BB6" s="5" t="n">
        <v>56980</v>
      </c>
      <c r="BC6" s="5" t="n">
        <v>57162</v>
      </c>
    </row>
    <row r="8" customFormat="false" ht="15" hidden="false" customHeight="false" outlineLevel="0" collapsed="false">
      <c r="A8" s="0" t="s">
        <v>191</v>
      </c>
      <c r="C8" s="0" t="n">
        <f aca="false">-CapEx!C10</f>
        <v>-19300</v>
      </c>
      <c r="D8" s="0" t="n">
        <f aca="false">-CapEx!D10</f>
        <v>-21900</v>
      </c>
      <c r="E8" s="0" t="n">
        <f aca="false">-CapEx!E10</f>
        <v>-1800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0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0</v>
      </c>
      <c r="AH8" s="0" t="n">
        <v>0</v>
      </c>
      <c r="AI8" s="0" t="n">
        <v>0</v>
      </c>
      <c r="AJ8" s="0" t="n">
        <v>0</v>
      </c>
      <c r="AK8" s="0" t="n">
        <v>0</v>
      </c>
      <c r="AL8" s="0" t="n">
        <v>0</v>
      </c>
      <c r="AM8" s="0" t="n">
        <v>0</v>
      </c>
      <c r="AN8" s="0" t="n">
        <v>0</v>
      </c>
      <c r="AO8" s="0" t="n">
        <v>0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V8" s="0" t="n">
        <v>0</v>
      </c>
      <c r="AW8" s="0" t="n">
        <v>0</v>
      </c>
      <c r="AX8" s="0" t="n">
        <v>0</v>
      </c>
      <c r="AY8" s="0" t="n">
        <v>0</v>
      </c>
      <c r="AZ8" s="0" t="n">
        <v>0</v>
      </c>
      <c r="BA8" s="0" t="n">
        <v>0</v>
      </c>
      <c r="BB8" s="0" t="n">
        <v>0</v>
      </c>
      <c r="BC8" s="0" t="n">
        <v>0</v>
      </c>
    </row>
    <row r="9" customFormat="false" ht="15" hidden="false" customHeight="false" outlineLevel="0" collapsed="false">
      <c r="A9" s="0" t="s">
        <v>192</v>
      </c>
      <c r="C9" s="0" t="n">
        <v>0</v>
      </c>
      <c r="D9" s="0" t="n">
        <v>0</v>
      </c>
      <c r="E9" s="0" t="n">
        <v>0</v>
      </c>
      <c r="F9" s="7" t="n">
        <f aca="false">'Debt Service'!$C$16</f>
        <v>32250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0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  <c r="AM9" s="0" t="n">
        <v>0</v>
      </c>
      <c r="AN9" s="0" t="n">
        <v>0</v>
      </c>
      <c r="AO9" s="0" t="n">
        <v>0</v>
      </c>
      <c r="AP9" s="0" t="n">
        <v>0</v>
      </c>
      <c r="AQ9" s="0" t="n">
        <v>0</v>
      </c>
      <c r="AR9" s="0" t="n">
        <v>0</v>
      </c>
      <c r="AS9" s="0" t="n">
        <v>0</v>
      </c>
      <c r="AT9" s="0" t="n">
        <v>0</v>
      </c>
      <c r="AU9" s="0" t="n">
        <v>0</v>
      </c>
      <c r="AV9" s="0" t="n">
        <v>0</v>
      </c>
      <c r="AW9" s="0" t="n">
        <v>0</v>
      </c>
      <c r="AX9" s="0" t="n">
        <v>0</v>
      </c>
      <c r="AY9" s="0" t="n">
        <v>0</v>
      </c>
      <c r="AZ9" s="0" t="n">
        <v>0</v>
      </c>
      <c r="BA9" s="0" t="n">
        <v>0</v>
      </c>
      <c r="BB9" s="0" t="n">
        <v>0</v>
      </c>
      <c r="BC9" s="0" t="n">
        <v>0</v>
      </c>
    </row>
    <row r="10" customFormat="false" ht="15" hidden="false" customHeight="false" outlineLevel="0" collapsed="false">
      <c r="A10" s="0" t="s">
        <v>193</v>
      </c>
      <c r="C10" s="0" t="n">
        <v>0</v>
      </c>
      <c r="D10" s="0" t="n">
        <v>0</v>
      </c>
      <c r="E10" s="0" t="n">
        <v>0</v>
      </c>
      <c r="F10" s="0" t="n">
        <f aca="false">MAX(0,'Cash Flow'!F9-'Cash Flow'!F10)</f>
        <v>2031.5541784319</v>
      </c>
      <c r="G10" s="0" t="n">
        <f aca="false">MAX(0,'Cash Flow'!G9-'Cash Flow'!G10)</f>
        <v>2028.06006145549</v>
      </c>
      <c r="H10" s="0" t="n">
        <f aca="false">MAX(0,'Cash Flow'!H9-'Cash Flow'!H10)</f>
        <v>2059.49923646822</v>
      </c>
      <c r="I10" s="0" t="n">
        <f aca="false">MAX(0,'Cash Flow'!I9-'Cash Flow'!I10)</f>
        <v>2055.62465933981</v>
      </c>
      <c r="J10" s="0" t="n">
        <f aca="false">MAX(0,'Cash Flow'!J9-'Cash Flow'!J10)</f>
        <v>2087.37349915048</v>
      </c>
      <c r="K10" s="0" t="n">
        <f aca="false">MAX(0,'Cash Flow'!K9-'Cash Flow'!K10)</f>
        <v>2083.09353601288</v>
      </c>
      <c r="L10" s="0" t="n">
        <f aca="false">MAX(0,'Cash Flow'!L9-'Cash Flow'!L10)</f>
        <v>2115.1404410553</v>
      </c>
      <c r="M10" s="0" t="n">
        <f aca="false">MAX(0,'Cash Flow'!M9-'Cash Flow'!M10)</f>
        <v>2110.42870202246</v>
      </c>
      <c r="N10" s="0" t="n">
        <f aca="false">MAX(0,'Cash Flow'!N9-'Cash Flow'!N10)</f>
        <v>2142.76084867586</v>
      </c>
      <c r="O10" s="0" t="n">
        <f aca="false">MAX(0,'Cash Flow'!O9-'Cash Flow'!O10)</f>
        <v>2137.58939671902</v>
      </c>
      <c r="P10" s="0" t="n">
        <f aca="false">MAX(0,'Cash Flow'!P9-'Cash Flow'!P10)</f>
        <v>2170.19265751319</v>
      </c>
      <c r="Q10" s="0" t="n">
        <f aca="false">MAX(0,'Cash Flow'!Q9-'Cash Flow'!Q10)</f>
        <v>2164.53192068313</v>
      </c>
      <c r="R10" s="0" t="n">
        <f aca="false">MAX(0,'Cash Flow'!R9-'Cash Flow'!R10)</f>
        <v>2197.39077982367</v>
      </c>
      <c r="S10" s="0" t="n">
        <f aca="false">MAX(0,'Cash Flow'!S9-'Cash Flow'!S10)</f>
        <v>2191.20945854859</v>
      </c>
      <c r="T10" s="0" t="n">
        <f aca="false">MAX(0,'Cash Flow'!T9-'Cash Flow'!T10)</f>
        <v>2224.30692249653</v>
      </c>
      <c r="U10" s="0" t="n">
        <f aca="false">MAX(0,'Cash Flow'!U9-'Cash Flow'!U10)</f>
        <v>2217.57189168021</v>
      </c>
      <c r="V10" s="0" t="n">
        <f aca="false">MAX(0,'Cash Flow'!V9-'Cash Flow'!V10)</f>
        <v>2250.88939450569</v>
      </c>
      <c r="W10" s="0" t="n">
        <f aca="false">MAX(0,'Cash Flow'!W9-'Cash Flow'!W10)</f>
        <v>2243.5656001356</v>
      </c>
      <c r="X10" s="0" t="n">
        <f aca="false">MAX(0,'Cash Flow'!X9-'Cash Flow'!X10)</f>
        <v>2277.08290334936</v>
      </c>
      <c r="Y10" s="0" t="n">
        <f aca="false">MAX(0,'Cash Flow'!Y9-'Cash Flow'!Y10)</f>
        <v>2269.13325330775</v>
      </c>
      <c r="Z10" s="0" t="n">
        <f aca="false">MAX(0,'Cash Flow'!Z9-'Cash Flow'!Z10)</f>
        <v>2302.82833985761</v>
      </c>
      <c r="AA10" s="0" t="n">
        <f aca="false">MAX(0,'Cash Flow'!AA9-'Cash Flow'!AA10)</f>
        <v>2294.21358861197</v>
      </c>
      <c r="AB10" s="0" t="n">
        <f aca="false">MAX(0,'Cash Flow'!AB9-'Cash Flow'!AB10)</f>
        <v>2328.06255071405</v>
      </c>
      <c r="AC10" s="0" t="n">
        <f aca="false">MAX(0,'Cash Flow'!AC9-'Cash Flow'!AC10)</f>
        <v>2318.74117754479</v>
      </c>
      <c r="AD10" s="0" t="n">
        <f aca="false">MAX(0,'Cash Flow'!AD9-'Cash Flow'!AD10)</f>
        <v>2550.13457674051</v>
      </c>
      <c r="AE10" s="0" t="n">
        <f aca="false">MAX(0,'Cash Flow'!AE9-'Cash Flow'!AE10)</f>
        <v>2539.01643109061</v>
      </c>
      <c r="AF10" s="0" t="n">
        <f aca="false">MAX(0,'Cash Flow'!AF9-'Cash Flow'!AF10)</f>
        <v>2575.96659002499</v>
      </c>
      <c r="AG10" s="0" t="n">
        <f aca="false">MAX(0,'Cash Flow'!AG9-'Cash Flow'!AG10)</f>
        <v>2563.97217569988</v>
      </c>
      <c r="AH10" s="0" t="n">
        <f aca="false">MAX(0,'Cash Flow'!AH9-'Cash Flow'!AH10)</f>
        <v>2600.98944964227</v>
      </c>
      <c r="AI10" s="0" t="n">
        <f aca="false">MAX(0,'Cash Flow'!AI9-'Cash Flow'!AI10)</f>
        <v>2588.06478193537</v>
      </c>
      <c r="AJ10" s="0" t="n">
        <f aca="false">MAX(0,'Cash Flow'!AJ9-'Cash Flow'!AJ10)</f>
        <v>4648.6793530895</v>
      </c>
      <c r="AK10" s="0" t="n">
        <f aca="false">MAX(0,'Cash Flow'!AK9-'Cash Flow'!AK10)</f>
        <v>4648.6793530895</v>
      </c>
      <c r="AL10" s="0" t="n">
        <f aca="false">MAX(0,'Cash Flow'!AL9-'Cash Flow'!AL10)</f>
        <v>4739.58577765129</v>
      </c>
      <c r="AM10" s="0" t="n">
        <f aca="false">MAX(0,'Cash Flow'!AM9-'Cash Flow'!AM10)</f>
        <v>4739.58577765129</v>
      </c>
      <c r="AN10" s="0" t="n">
        <f aca="false">MAX(0,'Cash Flow'!AN9-'Cash Flow'!AN10)</f>
        <v>4832.31033070431</v>
      </c>
      <c r="AO10" s="0" t="n">
        <f aca="false">MAX(0,'Cash Flow'!AO9-'Cash Flow'!AO10)</f>
        <v>4832.31033070431</v>
      </c>
      <c r="AP10" s="0" t="n">
        <f aca="false">MAX(0,'Cash Flow'!AP9-'Cash Flow'!AP10)</f>
        <v>4926.8893748184</v>
      </c>
      <c r="AQ10" s="0" t="n">
        <f aca="false">MAX(0,'Cash Flow'!AQ9-'Cash Flow'!AQ10)</f>
        <v>4926.8893748184</v>
      </c>
      <c r="AR10" s="0" t="n">
        <f aca="false">MAX(0,'Cash Flow'!AR9-'Cash Flow'!AR10)</f>
        <v>5023.35999981477</v>
      </c>
      <c r="AS10" s="0" t="n">
        <f aca="false">MAX(0,'Cash Flow'!AS9-'Cash Flow'!AS10)</f>
        <v>5023.35999981477</v>
      </c>
      <c r="AT10" s="0" t="n">
        <f aca="false">MAX(0,'Cash Flow'!AT9-'Cash Flow'!AT10)</f>
        <v>4853.01003731106</v>
      </c>
      <c r="AU10" s="0" t="n">
        <f aca="false">MAX(0,'Cash Flow'!AU9-'Cash Flow'!AU10)</f>
        <v>4853.01003731106</v>
      </c>
      <c r="AV10" s="0" t="n">
        <f aca="false">MAX(0,'Cash Flow'!AV9-'Cash Flow'!AV10)</f>
        <v>4953.37807555728</v>
      </c>
      <c r="AW10" s="0" t="n">
        <f aca="false">MAX(0,'Cash Flow'!AW9-'Cash Flow'!AW10)</f>
        <v>4953.37807555728</v>
      </c>
      <c r="AX10" s="0" t="n">
        <f aca="false">MAX(0,'Cash Flow'!AX9-'Cash Flow'!AX10)</f>
        <v>5055.75347456843</v>
      </c>
      <c r="AY10" s="0" t="n">
        <f aca="false">MAX(0,'Cash Flow'!AY9-'Cash Flow'!AY10)</f>
        <v>5055.75347456843</v>
      </c>
      <c r="AZ10" s="0" t="n">
        <f aca="false">MAX(0,'Cash Flow'!AZ9-'Cash Flow'!AZ10)</f>
        <v>5160.1763815598</v>
      </c>
      <c r="BA10" s="0" t="n">
        <f aca="false">MAX(0,'Cash Flow'!BA9-'Cash Flow'!BA10)</f>
        <v>5160.1763815598</v>
      </c>
      <c r="BB10" s="0" t="n">
        <f aca="false">MAX(0,'Cash Flow'!BB9-'Cash Flow'!BB10)</f>
        <v>5266.68774669099</v>
      </c>
      <c r="BC10" s="0" t="n">
        <f aca="false">MAX(0,'Cash Flow'!BC9-'Cash Flow'!BC10)</f>
        <v>5266.68774669099</v>
      </c>
    </row>
    <row r="11" customFormat="false" ht="15" hidden="false" customHeight="false" outlineLevel="0" collapsed="false">
      <c r="A11" s="1" t="s">
        <v>194</v>
      </c>
      <c r="C11" s="1" t="n">
        <f aca="false">C8+C9+C10</f>
        <v>-19300</v>
      </c>
      <c r="D11" s="1" t="n">
        <f aca="false">D8+D9+D10</f>
        <v>-21900</v>
      </c>
      <c r="E11" s="1" t="n">
        <f aca="false">E8+E9+E10</f>
        <v>-1800</v>
      </c>
      <c r="F11" s="6" t="n">
        <f aca="false">F8+F9+F10</f>
        <v>34281.5541784319</v>
      </c>
      <c r="G11" s="1" t="n">
        <f aca="false">G8+G9+G10</f>
        <v>2028.06006145549</v>
      </c>
      <c r="H11" s="1" t="n">
        <f aca="false">H8+H9+H10</f>
        <v>2059.49923646822</v>
      </c>
      <c r="I11" s="1" t="n">
        <f aca="false">I8+I9+I10</f>
        <v>2055.62465933981</v>
      </c>
      <c r="J11" s="1" t="n">
        <f aca="false">J8+J9+J10</f>
        <v>2087.37349915048</v>
      </c>
      <c r="K11" s="1" t="n">
        <f aca="false">K8+K9+K10</f>
        <v>2083.09353601288</v>
      </c>
      <c r="L11" s="1" t="n">
        <f aca="false">L8+L9+L10</f>
        <v>2115.1404410553</v>
      </c>
      <c r="M11" s="1" t="n">
        <f aca="false">M8+M9+M10</f>
        <v>2110.42870202246</v>
      </c>
      <c r="N11" s="1" t="n">
        <f aca="false">N8+N9+N10</f>
        <v>2142.76084867586</v>
      </c>
      <c r="O11" s="1" t="n">
        <f aca="false">O8+O9+O10</f>
        <v>2137.58939671902</v>
      </c>
      <c r="P11" s="1" t="n">
        <f aca="false">P8+P9+P10</f>
        <v>2170.19265751319</v>
      </c>
      <c r="Q11" s="1" t="n">
        <f aca="false">Q8+Q9+Q10</f>
        <v>2164.53192068313</v>
      </c>
      <c r="R11" s="1" t="n">
        <f aca="false">R8+R9+R10</f>
        <v>2197.39077982367</v>
      </c>
      <c r="S11" s="1" t="n">
        <f aca="false">S8+S9+S10</f>
        <v>2191.20945854859</v>
      </c>
      <c r="T11" s="1" t="n">
        <f aca="false">T8+T9+T10</f>
        <v>2224.30692249653</v>
      </c>
      <c r="U11" s="1" t="n">
        <f aca="false">U8+U9+U10</f>
        <v>2217.57189168021</v>
      </c>
      <c r="V11" s="1" t="n">
        <f aca="false">V8+V9+V10</f>
        <v>2250.88939450569</v>
      </c>
      <c r="W11" s="1" t="n">
        <f aca="false">W8+W9+W10</f>
        <v>2243.5656001356</v>
      </c>
      <c r="X11" s="1" t="n">
        <f aca="false">X8+X9+X10</f>
        <v>2277.08290334936</v>
      </c>
      <c r="Y11" s="1" t="n">
        <f aca="false">Y8+Y9+Y10</f>
        <v>2269.13325330775</v>
      </c>
      <c r="Z11" s="1" t="n">
        <f aca="false">Z8+Z9+Z10</f>
        <v>2302.82833985761</v>
      </c>
      <c r="AA11" s="1" t="n">
        <f aca="false">AA8+AA9+AA10</f>
        <v>2294.21358861197</v>
      </c>
      <c r="AB11" s="1" t="n">
        <f aca="false">AB8+AB9+AB10</f>
        <v>2328.06255071405</v>
      </c>
      <c r="AC11" s="1" t="n">
        <f aca="false">AC8+AC9+AC10</f>
        <v>2318.74117754479</v>
      </c>
      <c r="AD11" s="1" t="n">
        <f aca="false">AD8+AD9+AD10</f>
        <v>2550.13457674051</v>
      </c>
      <c r="AE11" s="1" t="n">
        <f aca="false">AE8+AE9+AE10</f>
        <v>2539.01643109061</v>
      </c>
      <c r="AF11" s="1" t="n">
        <f aca="false">AF8+AF9+AF10</f>
        <v>2575.96659002499</v>
      </c>
      <c r="AG11" s="1" t="n">
        <f aca="false">AG8+AG9+AG10</f>
        <v>2563.97217569988</v>
      </c>
      <c r="AH11" s="1" t="n">
        <f aca="false">AH8+AH9+AH10</f>
        <v>2600.98944964227</v>
      </c>
      <c r="AI11" s="1" t="n">
        <f aca="false">AI8+AI9+AI10</f>
        <v>2588.06478193537</v>
      </c>
      <c r="AJ11" s="1" t="n">
        <f aca="false">AJ8+AJ9+AJ10</f>
        <v>4648.6793530895</v>
      </c>
      <c r="AK11" s="1" t="n">
        <f aca="false">AK8+AK9+AK10</f>
        <v>4648.6793530895</v>
      </c>
      <c r="AL11" s="1" t="n">
        <f aca="false">AL8+AL9+AL10</f>
        <v>4739.58577765129</v>
      </c>
      <c r="AM11" s="1" t="n">
        <f aca="false">AM8+AM9+AM10</f>
        <v>4739.58577765129</v>
      </c>
      <c r="AN11" s="1" t="n">
        <f aca="false">AN8+AN9+AN10</f>
        <v>4832.31033070431</v>
      </c>
      <c r="AO11" s="1" t="n">
        <f aca="false">AO8+AO9+AO10</f>
        <v>4832.31033070431</v>
      </c>
      <c r="AP11" s="1" t="n">
        <f aca="false">AP8+AP9+AP10</f>
        <v>4926.8893748184</v>
      </c>
      <c r="AQ11" s="1" t="n">
        <f aca="false">AQ8+AQ9+AQ10</f>
        <v>4926.8893748184</v>
      </c>
      <c r="AR11" s="1" t="n">
        <f aca="false">AR8+AR9+AR10</f>
        <v>5023.35999981477</v>
      </c>
      <c r="AS11" s="1" t="n">
        <f aca="false">AS8+AS9+AS10</f>
        <v>5023.35999981477</v>
      </c>
      <c r="AT11" s="1" t="n">
        <f aca="false">AT8+AT9+AT10</f>
        <v>4853.01003731106</v>
      </c>
      <c r="AU11" s="1" t="n">
        <f aca="false">AU8+AU9+AU10</f>
        <v>4853.01003731106</v>
      </c>
      <c r="AV11" s="1" t="n">
        <f aca="false">AV8+AV9+AV10</f>
        <v>4953.37807555728</v>
      </c>
      <c r="AW11" s="1" t="n">
        <f aca="false">AW8+AW9+AW10</f>
        <v>4953.37807555728</v>
      </c>
      <c r="AX11" s="1" t="n">
        <f aca="false">AX8+AX9+AX10</f>
        <v>5055.75347456843</v>
      </c>
      <c r="AY11" s="1" t="n">
        <f aca="false">AY8+AY9+AY10</f>
        <v>5055.75347456843</v>
      </c>
      <c r="AZ11" s="1" t="n">
        <f aca="false">AZ8+AZ9+AZ10</f>
        <v>5160.1763815598</v>
      </c>
      <c r="BA11" s="1" t="n">
        <f aca="false">BA8+BA9+BA10</f>
        <v>5160.1763815598</v>
      </c>
      <c r="BB11" s="1" t="n">
        <f aca="false">BB8+BB9+BB10</f>
        <v>5266.68774669099</v>
      </c>
      <c r="BC11" s="1" t="n">
        <f aca="false">BC8+BC9+BC10</f>
        <v>5266.68774669099</v>
      </c>
    </row>
    <row r="13" customFormat="false" ht="15" hidden="false" customHeight="false" outlineLevel="0" collapsed="false">
      <c r="A13" s="1" t="s">
        <v>195</v>
      </c>
      <c r="C13" s="1" t="n">
        <f aca="false">XIRR(C11:BC11,C6:BC6)</f>
        <v>0.227674746413752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26"/>
  </cols>
  <sheetData>
    <row r="1" customFormat="false" ht="15" hidden="false" customHeight="false" outlineLevel="0" collapsed="false">
      <c r="A1" s="1" t="s">
        <v>196</v>
      </c>
    </row>
    <row r="2" customFormat="false" ht="15" hidden="false" customHeight="false" outlineLevel="0" collapsed="false">
      <c r="A2" s="0" t="s">
        <v>197</v>
      </c>
    </row>
    <row r="4" customFormat="false" ht="15" hidden="false" customHeight="false" outlineLevel="0" collapsed="false">
      <c r="A4" s="9" t="s">
        <v>198</v>
      </c>
      <c r="B4" s="9" t="s">
        <v>199</v>
      </c>
      <c r="C4" s="9" t="s">
        <v>200</v>
      </c>
      <c r="D4" s="9" t="s">
        <v>201</v>
      </c>
      <c r="E4" s="9" t="s">
        <v>202</v>
      </c>
      <c r="F4" s="9" t="s">
        <v>203</v>
      </c>
    </row>
    <row r="5" customFormat="false" ht="15" hidden="false" customHeight="false" outlineLevel="0" collapsed="false">
      <c r="A5" s="0" t="s">
        <v>204</v>
      </c>
      <c r="B5" s="0" t="s">
        <v>39</v>
      </c>
      <c r="C5" s="1" t="n">
        <f aca="false">Revenue!$C$15</f>
        <v>285195.726540852</v>
      </c>
      <c r="D5" s="8" t="s">
        <v>169</v>
      </c>
      <c r="E5" s="8" t="s">
        <v>205</v>
      </c>
      <c r="F5" s="8" t="s">
        <v>206</v>
      </c>
    </row>
    <row r="6" customFormat="false" ht="15" hidden="false" customHeight="false" outlineLevel="0" collapsed="false">
      <c r="A6" s="0" t="s">
        <v>207</v>
      </c>
      <c r="B6" s="0" t="s">
        <v>39</v>
      </c>
      <c r="C6" s="1" t="n">
        <f aca="false">OpEx!$C$12</f>
        <v>17616.6648477801</v>
      </c>
      <c r="D6" s="8" t="s">
        <v>170</v>
      </c>
      <c r="E6" s="8" t="s">
        <v>208</v>
      </c>
      <c r="F6" s="8" t="s">
        <v>209</v>
      </c>
    </row>
    <row r="7" customFormat="false" ht="15" hidden="false" customHeight="false" outlineLevel="0" collapsed="false">
      <c r="A7" s="0" t="s">
        <v>210</v>
      </c>
      <c r="B7" s="0" t="s">
        <v>39</v>
      </c>
      <c r="C7" s="1" t="n">
        <f aca="false">SUM('P&amp;L'!C7:BC7)</f>
        <v>267579.061693072</v>
      </c>
      <c r="D7" s="8" t="s">
        <v>211</v>
      </c>
      <c r="E7" s="8" t="s">
        <v>212</v>
      </c>
      <c r="F7" s="8" t="s">
        <v>213</v>
      </c>
    </row>
    <row r="8" customFormat="false" ht="15" hidden="false" customHeight="false" outlineLevel="0" collapsed="false">
      <c r="A8" s="0" t="s">
        <v>214</v>
      </c>
      <c r="B8" s="0" t="s">
        <v>39</v>
      </c>
      <c r="C8" s="1" t="n">
        <f aca="false">CapEx!$BE$10</f>
        <v>43000</v>
      </c>
      <c r="D8" s="8" t="s">
        <v>215</v>
      </c>
      <c r="E8" s="8" t="s">
        <v>216</v>
      </c>
      <c r="F8" s="8" t="s">
        <v>217</v>
      </c>
    </row>
    <row r="9" customFormat="false" ht="15" hidden="false" customHeight="false" outlineLevel="0" collapsed="false">
      <c r="A9" s="0" t="s">
        <v>218</v>
      </c>
      <c r="B9" s="0" t="s">
        <v>39</v>
      </c>
      <c r="C9" s="1" t="n">
        <f aca="false">IDC!$C$30</f>
        <v>0</v>
      </c>
      <c r="D9" s="8" t="s">
        <v>117</v>
      </c>
      <c r="E9" s="8" t="s">
        <v>219</v>
      </c>
      <c r="F9" s="8" t="s">
        <v>220</v>
      </c>
    </row>
    <row r="10" customFormat="false" ht="15" hidden="false" customHeight="false" outlineLevel="0" collapsed="false">
      <c r="A10" s="0" t="s">
        <v>221</v>
      </c>
      <c r="B10" s="0" t="s">
        <v>39</v>
      </c>
      <c r="C10" s="1" t="n">
        <f aca="false">Inputs!$C$36</f>
        <v>0</v>
      </c>
      <c r="D10" s="8" t="s">
        <v>222</v>
      </c>
      <c r="E10" s="8" t="s">
        <v>223</v>
      </c>
      <c r="F10" s="8" t="s">
        <v>224</v>
      </c>
    </row>
    <row r="11" customFormat="false" ht="15" hidden="false" customHeight="false" outlineLevel="0" collapsed="false">
      <c r="A11" s="0" t="s">
        <v>225</v>
      </c>
      <c r="B11" s="0" t="s">
        <v>39</v>
      </c>
      <c r="C11" s="6" t="n">
        <f aca="false">'Debt Service'!$C$16</f>
        <v>32250</v>
      </c>
      <c r="D11" s="8" t="s">
        <v>226</v>
      </c>
      <c r="E11" s="8" t="s">
        <v>227</v>
      </c>
      <c r="F11" s="8" t="s">
        <v>228</v>
      </c>
    </row>
    <row r="12" customFormat="false" ht="15" hidden="false" customHeight="false" outlineLevel="0" collapsed="false">
      <c r="A12" s="0" t="s">
        <v>229</v>
      </c>
      <c r="B12" s="0" t="s">
        <v>39</v>
      </c>
      <c r="C12" s="1" t="n">
        <f aca="false">'Debt Service'!F22</f>
        <v>1395.1101965681</v>
      </c>
      <c r="D12" s="8" t="s">
        <v>226</v>
      </c>
      <c r="E12" s="8" t="s">
        <v>230</v>
      </c>
      <c r="F12" s="8" t="s">
        <v>231</v>
      </c>
    </row>
    <row r="13" customFormat="false" ht="15" hidden="false" customHeight="false" outlineLevel="0" collapsed="false">
      <c r="A13" s="0" t="s">
        <v>232</v>
      </c>
      <c r="B13" s="0" t="s">
        <v>39</v>
      </c>
      <c r="C13" s="1" t="n">
        <f aca="false">'Debt Service'!G22</f>
        <v>1395.1101965681</v>
      </c>
      <c r="D13" s="8" t="s">
        <v>226</v>
      </c>
      <c r="E13" s="8" t="s">
        <v>233</v>
      </c>
      <c r="F13" s="8" t="s">
        <v>234</v>
      </c>
    </row>
    <row r="14" customFormat="false" ht="15" hidden="false" customHeight="false" outlineLevel="0" collapsed="false">
      <c r="A14" s="0" t="s">
        <v>235</v>
      </c>
      <c r="B14" s="0" t="s">
        <v>39</v>
      </c>
      <c r="C14" s="1" t="n">
        <f aca="false">'Debt Service'!H22</f>
        <v>1422.11256636212</v>
      </c>
      <c r="D14" s="8" t="s">
        <v>226</v>
      </c>
      <c r="E14" s="8" t="s">
        <v>236</v>
      </c>
      <c r="F14" s="8" t="s">
        <v>237</v>
      </c>
    </row>
    <row r="15" customFormat="false" ht="15" hidden="false" customHeight="false" outlineLevel="0" collapsed="false">
      <c r="A15" s="0" t="s">
        <v>238</v>
      </c>
      <c r="B15" s="0" t="s">
        <v>48</v>
      </c>
      <c r="C15" s="1" t="n">
        <f aca="false">AVERAGEIF('Cash Flow'!F11:BC11,"&gt;0")</f>
        <v>2.38764620203107</v>
      </c>
      <c r="D15" s="8" t="s">
        <v>239</v>
      </c>
      <c r="E15" s="8" t="s">
        <v>240</v>
      </c>
      <c r="F15" s="8" t="s">
        <v>241</v>
      </c>
    </row>
    <row r="16" customFormat="false" ht="15" hidden="false" customHeight="false" outlineLevel="0" collapsed="false">
      <c r="A16" s="0" t="s">
        <v>242</v>
      </c>
      <c r="B16" s="0" t="s">
        <v>48</v>
      </c>
      <c r="C16" s="1" t="n">
        <f aca="false">MIN('Cash Flow'!F11:BC11)</f>
        <v>2.30396158800782</v>
      </c>
      <c r="D16" s="8" t="s">
        <v>239</v>
      </c>
      <c r="E16" s="8" t="s">
        <v>240</v>
      </c>
      <c r="F16" s="8" t="s">
        <v>243</v>
      </c>
    </row>
    <row r="17" customFormat="false" ht="15" hidden="false" customHeight="false" outlineLevel="0" collapsed="false">
      <c r="A17" s="0" t="s">
        <v>244</v>
      </c>
      <c r="B17" s="0" t="s">
        <v>23</v>
      </c>
      <c r="C17" s="1" t="n">
        <f aca="false">'Cash Flow'!$C$14</f>
        <v>0.160907156743545</v>
      </c>
      <c r="D17" s="8" t="s">
        <v>239</v>
      </c>
      <c r="E17" s="8" t="s">
        <v>245</v>
      </c>
      <c r="F17" s="8" t="s">
        <v>246</v>
      </c>
    </row>
    <row r="18" customFormat="false" ht="15" hidden="false" customHeight="false" outlineLevel="0" collapsed="false">
      <c r="A18" s="0" t="s">
        <v>247</v>
      </c>
      <c r="B18" s="0" t="s">
        <v>23</v>
      </c>
      <c r="C18" s="1" t="n">
        <f aca="false">Equity!$C$13</f>
        <v>0.227674746413752</v>
      </c>
      <c r="D18" s="8" t="s">
        <v>248</v>
      </c>
      <c r="E18" s="8" t="s">
        <v>249</v>
      </c>
      <c r="F18" s="8" t="s">
        <v>250</v>
      </c>
    </row>
    <row r="19" customFormat="false" ht="15" hidden="false" customHeight="false" outlineLevel="0" collapsed="false">
      <c r="A19" s="0" t="s">
        <v>251</v>
      </c>
      <c r="B19" s="0" t="s">
        <v>23</v>
      </c>
      <c r="C19" s="6" t="n">
        <f aca="false">C11/C8*100</f>
        <v>75</v>
      </c>
      <c r="D19" s="8" t="s">
        <v>252</v>
      </c>
      <c r="E19" s="8" t="s">
        <v>253</v>
      </c>
      <c r="F19" s="8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255</v>
      </c>
    </row>
    <row r="3" customFormat="false" ht="15" hidden="false" customHeight="false" outlineLevel="0" collapsed="false">
      <c r="A3" s="0" t="s">
        <v>256</v>
      </c>
    </row>
    <row r="4" customFormat="false" ht="15" hidden="false" customHeight="false" outlineLevel="0" collapsed="false">
      <c r="A4" s="0" t="s">
        <v>257</v>
      </c>
    </row>
    <row r="5" customFormat="false" ht="15" hidden="false" customHeight="false" outlineLevel="0" collapsed="false">
      <c r="A5" s="0" t="s">
        <v>258</v>
      </c>
    </row>
    <row r="6" customFormat="false" ht="15" hidden="false" customHeight="false" outlineLevel="0" collapsed="false">
      <c r="A6" s="0" t="s">
        <v>259</v>
      </c>
    </row>
    <row r="7" customFormat="false" ht="15" hidden="false" customHeight="false" outlineLevel="0" collapsed="false">
      <c r="A7" s="0" t="s">
        <v>260</v>
      </c>
    </row>
    <row r="9" customFormat="false" ht="15" hidden="false" customHeight="false" outlineLevel="0" collapsed="false">
      <c r="A9" s="0" t="s">
        <v>261</v>
      </c>
    </row>
    <row r="10" customFormat="false" ht="15" hidden="false" customHeight="false" outlineLevel="0" collapsed="false">
      <c r="A10" s="0" t="s">
        <v>262</v>
      </c>
    </row>
    <row r="11" customFormat="false" ht="15" hidden="false" customHeight="false" outlineLevel="0" collapsed="false">
      <c r="A11" s="0" t="s">
        <v>263</v>
      </c>
    </row>
    <row r="12" customFormat="false" ht="15" hidden="false" customHeight="false" outlineLevel="0" collapsed="false">
      <c r="A12" s="0" t="s">
        <v>264</v>
      </c>
    </row>
    <row r="13" customFormat="false" ht="15" hidden="false" customHeight="false" outlineLevel="0" collapsed="false">
      <c r="A13" s="0" t="s">
        <v>265</v>
      </c>
    </row>
    <row r="14" customFormat="false" ht="15" hidden="false" customHeight="false" outlineLevel="0" collapsed="false">
      <c r="A14" s="0" t="s">
        <v>266</v>
      </c>
    </row>
    <row r="15" customFormat="false" ht="15" hidden="false" customHeight="false" outlineLevel="0" collapsed="false">
      <c r="A15" s="0" t="s">
        <v>267</v>
      </c>
    </row>
    <row r="16" customFormat="false" ht="15" hidden="false" customHeight="false" outlineLevel="0" collapsed="false">
      <c r="A16" s="0" t="s">
        <v>268</v>
      </c>
    </row>
    <row r="17" customFormat="false" ht="15" hidden="false" customHeight="false" outlineLevel="0" collapsed="false">
      <c r="A17" s="0" t="s">
        <v>269</v>
      </c>
    </row>
    <row r="18" customFormat="false" ht="15" hidden="false" customHeight="false" outlineLevel="0" collapsed="false">
      <c r="A18" s="0" t="s">
        <v>270</v>
      </c>
    </row>
    <row r="19" customFormat="false" ht="15" hidden="false" customHeight="false" outlineLevel="0" collapsed="false">
      <c r="A19" s="0" t="s">
        <v>271</v>
      </c>
    </row>
    <row r="20" customFormat="false" ht="15" hidden="false" customHeight="false" outlineLevel="0" collapsed="false">
      <c r="A20" s="0" t="s">
        <v>272</v>
      </c>
    </row>
    <row r="21" customFormat="false" ht="15" hidden="false" customHeight="false" outlineLevel="0" collapsed="false">
      <c r="A21" s="0" t="s">
        <v>273</v>
      </c>
    </row>
    <row r="22" customFormat="false" ht="15" hidden="false" customHeight="false" outlineLevel="0" collapsed="false">
      <c r="A22" s="0" t="s">
        <v>274</v>
      </c>
    </row>
    <row r="23" customFormat="false" ht="15" hidden="false" customHeight="false" outlineLevel="0" collapsed="false">
      <c r="A23" s="0" t="s">
        <v>275</v>
      </c>
    </row>
    <row r="24" customFormat="false" ht="15" hidden="false" customHeight="false" outlineLevel="0" collapsed="false">
      <c r="A24" s="0" t="s">
        <v>276</v>
      </c>
    </row>
    <row r="25" customFormat="false" ht="15" hidden="false" customHeight="false" outlineLevel="0" collapsed="false">
      <c r="A25" s="0" t="s">
        <v>277</v>
      </c>
    </row>
    <row r="26" customFormat="false" ht="15" hidden="false" customHeight="false" outlineLevel="0" collapsed="false">
      <c r="A26" s="0" t="s">
        <v>278</v>
      </c>
    </row>
    <row r="27" customFormat="false" ht="15" hidden="false" customHeight="false" outlineLevel="0" collapsed="false">
      <c r="A27" s="0" t="s">
        <v>279</v>
      </c>
    </row>
    <row r="28" customFormat="false" ht="15" hidden="false" customHeight="false" outlineLevel="0" collapsed="false">
      <c r="A28" s="0" t="s">
        <v>280</v>
      </c>
    </row>
    <row r="29" customFormat="false" ht="15" hidden="false" customHeight="false" outlineLevel="0" collapsed="false">
      <c r="A29" s="0" t="s">
        <v>281</v>
      </c>
    </row>
    <row r="30" customFormat="false" ht="15" hidden="false" customHeight="false" outlineLevel="0" collapsed="false">
      <c r="A30" s="0" t="s">
        <v>282</v>
      </c>
    </row>
    <row r="31" customFormat="false" ht="15" hidden="false" customHeight="false" outlineLevel="0" collapsed="false">
      <c r="A31" s="0" t="s">
        <v>283</v>
      </c>
    </row>
    <row r="32" customFormat="false" ht="15" hidden="false" customHeight="false" outlineLevel="0" collapsed="false">
      <c r="A32" s="0" t="s">
        <v>284</v>
      </c>
    </row>
    <row r="33" customFormat="false" ht="15" hidden="false" customHeight="false" outlineLevel="0" collapsed="false">
      <c r="A33" s="0" t="s">
        <v>285</v>
      </c>
    </row>
    <row r="34" customFormat="false" ht="15" hidden="false" customHeight="false" outlineLevel="0" collapsed="false">
      <c r="A34" s="0" t="s">
        <v>286</v>
      </c>
    </row>
    <row r="35" customFormat="false" ht="15" hidden="false" customHeight="false" outlineLevel="0" collapsed="false">
      <c r="A35" s="0" t="s">
        <v>287</v>
      </c>
    </row>
    <row r="36" customFormat="false" ht="15" hidden="false" customHeight="false" outlineLevel="0" collapsed="false">
      <c r="A36" s="0" t="s">
        <v>288</v>
      </c>
    </row>
    <row r="37" customFormat="false" ht="15" hidden="false" customHeight="false" outlineLevel="0" collapsed="false">
      <c r="A37" s="0" t="s">
        <v>289</v>
      </c>
    </row>
    <row r="38" customFormat="false" ht="15" hidden="false" customHeight="false" outlineLevel="0" collapsed="false">
      <c r="A38" s="0" t="s">
        <v>290</v>
      </c>
    </row>
    <row r="39" customFormat="false" ht="15" hidden="false" customHeight="false" outlineLevel="0" collapsed="false">
      <c r="A39" s="0" t="s">
        <v>291</v>
      </c>
    </row>
    <row r="40" customFormat="false" ht="15" hidden="false" customHeight="false" outlineLevel="0" collapsed="false">
      <c r="A40" s="0" t="s">
        <v>292</v>
      </c>
    </row>
    <row r="42" customFormat="false" ht="15" hidden="false" customHeight="false" outlineLevel="0" collapsed="false">
      <c r="A42" s="0" t="s">
        <v>293</v>
      </c>
    </row>
    <row r="43" customFormat="false" ht="15" hidden="false" customHeight="false" outlineLevel="0" collapsed="false">
      <c r="A43" s="0" t="s">
        <v>294</v>
      </c>
    </row>
    <row r="44" customFormat="false" ht="15" hidden="false" customHeight="false" outlineLevel="0" collapsed="false">
      <c r="A44" s="0" t="s">
        <v>295</v>
      </c>
    </row>
    <row r="45" customFormat="false" ht="15" hidden="false" customHeight="false" outlineLevel="0" collapsed="false">
      <c r="A45" s="0" t="s">
        <v>296</v>
      </c>
    </row>
    <row r="46" customFormat="false" ht="15" hidden="false" customHeight="false" outlineLevel="0" collapsed="false">
      <c r="A46" s="0" t="s">
        <v>297</v>
      </c>
    </row>
    <row r="47" customFormat="false" ht="15" hidden="false" customHeight="false" outlineLevel="0" collapsed="false">
      <c r="A47" s="0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2026-06-18T13:24:41Z</dcterms:created>
  <dc:creator>openpyxl</dc:creator>
  <dc:description/>
  <dc:language>en-US</dc:language>
  <cp:lastModifiedBy/>
  <dcterms:modified xsi:type="dcterms:W3CDTF">2026-06-18T13:24:41Z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